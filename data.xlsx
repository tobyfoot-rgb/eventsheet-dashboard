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P" sheetId="1" r:id="rId4"/>
    <sheet state="visible" name="Daily Jobs List" sheetId="2" r:id="rId5"/>
    <sheet state="visible" name="Roles &amp; Responsibilities" sheetId="3" r:id="rId6"/>
    <sheet state="visible" name="Operator Event Goals" sheetId="4" r:id="rId7"/>
    <sheet state="visible" name="DiagramsMaps" sheetId="5" r:id="rId8"/>
    <sheet state="visible" name="Power" sheetId="6" r:id="rId9"/>
    <sheet state="visible" name="Feeds " sheetId="7" r:id="rId10"/>
    <sheet state="visible" name=" Courtside Feeds Patching" sheetId="8" r:id="rId11"/>
    <sheet state="visible" name="Clients Feeds Patching" sheetId="9" r:id="rId12"/>
    <sheet state="visible" name="Network Configuration" sheetId="10" r:id="rId13"/>
    <sheet state="visible" name="Streaming Details" sheetId="11" r:id="rId14"/>
    <sheet state="visible" name="StadiumKit IDs" sheetId="12" r:id="rId15"/>
    <sheet state="visible" name="Court 7 Front Desk Patching Lis" sheetId="13" r:id="rId16"/>
    <sheet state="visible" name="Court 5 Front Desk Patching Lis" sheetId="14" r:id="rId17"/>
    <sheet state="visible" name="Court 2 Front Desk Patching Lis" sheetId="15" r:id="rId18"/>
    <sheet state="visible" name="Court 3 Front Desk Patching Lis" sheetId="16" r:id="rId19"/>
    <sheet state="visible" name="Court 6 Front Desk Patching Lis" sheetId="17" r:id="rId20"/>
    <sheet state="visible" name=" Backdesk Patching List 80x80" sheetId="18" r:id="rId21"/>
    <sheet state="visible" name="Streaming Patching List 40x40" sheetId="19" r:id="rId22"/>
    <sheet state="visible" name="Macros" sheetId="20" r:id="rId23"/>
    <sheet state="visible" name="Rig Progression Summary" sheetId="21" r:id="rId24"/>
    <sheet state="visible" name="Rig - ELC Crossover" sheetId="22" r:id="rId25"/>
    <sheet state="visible" name="Rig - Cameras" sheetId="23" r:id="rId26"/>
    <sheet state="visible" name="Rig - Fibre" sheetId="24" r:id="rId27"/>
    <sheet state="visible" name="Rig - Audio Mixers" sheetId="25" r:id="rId28"/>
    <sheet state="visible" name="Quirks" sheetId="26" r:id="rId29"/>
    <sheet state="visible" name="Borrowed List" sheetId="27" r:id="rId30"/>
    <sheet state="visible" name="Derig Checklist" sheetId="28" r:id="rId31"/>
    <sheet state="visible" name="EOD Template" sheetId="29" r:id="rId32"/>
    <sheet state="visible" name="Schedule Template" sheetId="30" r:id="rId33"/>
    <sheet state="visible" name="Site survey" sheetId="31" r:id="rId34"/>
    <sheet state="visible" name="IP Addresses" sheetId="32" r:id="rId35"/>
    <sheet state="visible" name="Bug Reporting 2025" sheetId="33" r:id="rId36"/>
    <sheet state="visible" name="IncidentLessons Log 2025" sheetId="34" r:id="rId37"/>
    <sheet state="visible" name="Site Contacts" sheetId="35" r:id="rId38"/>
    <sheet state="hidden" name="FibreSDI Patching" sheetId="36" r:id="rId39"/>
    <sheet state="hidden" name="Old Court # Front Desk Patching" sheetId="37" r:id="rId40"/>
    <sheet state="hidden" name="Possible Court # Front Desk Pat" sheetId="38" r:id="rId4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Gravity use their coloured looms in this order. 
Red, Green, Blue, Yellow, White, Brown/Black. 
Please use this order when giving Gravity looms, so Red would be Court 1 PGM, Green would be Court  2 PGM and so on.
</t>
      </text>
    </comment>
    <comment authorId="0" ref="F18">
      <text>
        <t xml:space="preserve">Gravity use their coloured looms in this order. 
Red, Green, Blue, Yellow, White, Brown/Black. 
Please use this order when giving Gravity looms, so Red would be Court 1 PGM, Green would be Court  2 PGM and so on.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Site contacts
ATP Media
TATA
Crionet
MCR
Gravity
Deltatre
WTA GFX
Data Company</t>
      </text>
    </comment>
    <comment authorId="0" ref="A41">
      <text>
        <t xml:space="preserve">2 power sources at Camera 1
1 power source at Camera 3
1 power source at Camera 4</t>
      </text>
    </comment>
    <comment authorId="0" ref="A44">
      <text>
        <t xml:space="preserve">Camera 3 on the left when looking at the umpire's chair. </t>
      </text>
    </comment>
    <comment authorId="0" ref="A47">
      <text>
        <t xml:space="preserve">Far mic XLRs running to Camera 4. 
Near mic XLRs running to the audio mixer next to the Norwia and beneath Camera 1. </t>
      </text>
    </comment>
    <comment authorId="0" ref="A51">
      <text>
        <t xml:space="preserve">SDI:
SDI Input 1 - Camera 1 SDI
SDI Input 2 - Camera 3 SDI (core 1 on 50m loom)
SDI Input 3 - Camera 4 SDI (core 2 on 50m loom) 
CAT 6:
Port 1 - CAT 6 on 50m loom for robotic heads
Port 2 - 90m CAT 6 from Tracking camera
Fibre:
Norwia port - Core 1 on fibre loom
Data A - Core 2 on fibre loom
Data B - Core 3 on fibre loom 
</t>
      </text>
    </comment>
    <comment authorId="0" ref="A52">
      <text>
        <t xml:space="preserve">Diagram on 'Diagrams/Maps' tab - follow link to diagrams presentation  </t>
      </text>
    </comment>
    <comment authorId="0" ref="A61">
      <text>
        <t xml:space="preserve">50 / 60 switch on the back of lens to match PAL or NTSC country </t>
      </text>
    </comment>
    <comment authorId="0" ref="A62">
      <text>
        <t xml:space="preserve">Camera 1 FS7
Camera 3 PMW
Camera 4 PMW
Tracking Camera </t>
      </text>
    </comment>
    <comment authorId="0" ref="A72">
      <text>
        <t xml:space="preserve">including monitors + poles, keyboards + mice, HDMI/DVIs, IECs, joystick + pedal</t>
      </text>
    </comment>
    <comment authorId="0" ref="A81">
      <text>
        <t xml:space="preserve">monitors, Quadsplit, SDI Monitor, keyboards + mice, IECs, HDMIs, Z2, Z840</t>
      </text>
    </comment>
    <comment authorId="0" ref="A87">
      <text>
        <t xml:space="preserve">monitors + poles, quadsplits, keyboards + mice, HDMIs, IECs, 4 x Z840s</t>
      </text>
    </comment>
    <comment authorId="0" ref="A113">
      <text>
        <t xml:space="preserve">CURRENT VERSIONS - UPDATE IF OUT-OF-DATE!
- Decklink 11.6 
- Nvidia 445.87
- ESET 7.3.2039
- Tight VNC 2.8.59. 
- ESET management 7.2.1266  </t>
      </text>
    </comment>
    <comment authorId="0" ref="A119">
      <text>
        <t xml:space="preserve">CURRENT VERSIONS - UPDATE IF OUT-OF-DATE!
- Decklink 11.6 
- Nvidia 445.87
- ESET 7.3.2039
- Tight VNC 2.8.59. 
- ESET management 7.2.1266  </t>
      </text>
    </comment>
    <comment authorId="0" ref="A140">
      <text>
        <t xml:space="preserve">Monitors/SDI Camera feed/SDI-HDMI Converter/HDMI Splitter/HDMIs/Headphones/1/4-3.5mm jack/line in to USB adaptor/fibre-SDI converter/fibre patch cables</t>
      </text>
    </comment>
    <comment authorId="0" ref="A144">
      <text>
        <t xml:space="preserve">Between SP operator and ELC operator
Between ELC operator and RO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">
      <text>
        <t xml:space="preserve">If providing ELC Operator AND RO with court sounds </t>
      </text>
    </comment>
    <comment authorId="0" ref="A39">
      <text>
        <t xml:space="preserve">If providing ELC Operator AND RO with court sounds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8">
      <text>
        <t xml:space="preserve">NONE</t>
      </text>
    </comment>
    <comment authorId="0" ref="F28">
      <text>
        <t xml:space="preserve">NONE</t>
      </text>
    </comment>
    <comment authorId="0" ref="E50">
      <text>
        <t xml:space="preserve">NO LANYARD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SP.X.NOR.DESK
</t>
      </text>
    </comment>
    <comment authorId="0" ref="D12">
      <text>
        <t xml:space="preserve">SP.X.NOR.DESK
</t>
      </text>
    </comment>
    <comment authorId="0" ref="F12">
      <text>
        <t xml:space="preserve">SP.X.NOR.DESK
</t>
      </text>
    </comment>
    <comment authorId="0" ref="H12">
      <text>
        <t xml:space="preserve">SP.X.NOR.DESK
</t>
      </text>
    </comment>
    <comment authorId="0" ref="J12">
      <text>
        <t xml:space="preserve">SP.X.NOR.DESK
</t>
      </text>
    </comment>
    <comment authorId="0" ref="B18">
      <text>
        <t xml:space="preserve">http://ilme-fr7-2000888.local</t>
      </text>
    </comment>
    <comment authorId="0" ref="D18">
      <text>
        <t xml:space="preserve">http://ilme-fr7-2000908.local</t>
      </text>
    </comment>
    <comment authorId="0" ref="F18">
      <text>
        <t xml:space="preserve">https://ilme-fr7-2000883.local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Not very useful, didn't speak to her once on site, but she does chat with ELC and ATP Media so it's easier to go through them</t>
      </text>
    </comment>
    <comment authorId="0" ref="D2">
      <text>
        <t xml:space="preserve">Slightly more useful but not overly helpful on site, go through Gravity if you need to speak to him
</t>
      </text>
    </comment>
    <comment authorId="0" ref="I2">
      <text>
        <t xml:space="preserve">Very useful, replaced our internet line this year which solved all streaming related issues
</t>
      </text>
    </comment>
  </commentList>
</comments>
</file>

<file path=xl/sharedStrings.xml><?xml version="1.0" encoding="utf-8"?>
<sst xmlns="http://schemas.openxmlformats.org/spreadsheetml/2006/main" count="5314" uniqueCount="1893">
  <si>
    <t>Miami Open by Itau MSP</t>
  </si>
  <si>
    <t>Sunday March 15th - Sunday March 29th</t>
  </si>
  <si>
    <t>Match #</t>
  </si>
  <si>
    <t>Start Time</t>
  </si>
  <si>
    <t>Stadium</t>
  </si>
  <si>
    <t>Grandstand</t>
  </si>
  <si>
    <t>Butch Buchholz</t>
  </si>
  <si>
    <t>Court 1</t>
  </si>
  <si>
    <t>Court 7</t>
  </si>
  <si>
    <t>Court 5</t>
  </si>
  <si>
    <t>Court 2</t>
  </si>
  <si>
    <t>Court 3</t>
  </si>
  <si>
    <t>Court 6</t>
  </si>
  <si>
    <t>Court 4</t>
  </si>
  <si>
    <t>WTA QS</t>
  </si>
  <si>
    <t>fb</t>
  </si>
  <si>
    <t>(fb) WTA QS</t>
  </si>
  <si>
    <t>(FB) WTA QS</t>
  </si>
  <si>
    <t>(FB)WTA QS</t>
  </si>
  <si>
    <t>11.00am ATP QS</t>
  </si>
  <si>
    <t>11.00 am ATP QS</t>
  </si>
  <si>
    <t>11am ATP QS</t>
  </si>
  <si>
    <t>(fb) ATP QS</t>
  </si>
  <si>
    <t>11.00am</t>
  </si>
  <si>
    <t>WTA MDS</t>
  </si>
  <si>
    <t>ATP QS</t>
  </si>
  <si>
    <t>Standby Court</t>
  </si>
  <si>
    <t>(fb) WTA MDS</t>
  </si>
  <si>
    <t>12.00pm</t>
  </si>
  <si>
    <t>11.00am ATP MDS</t>
  </si>
  <si>
    <t>11.00am WTA MDS</t>
  </si>
  <si>
    <t>ATP MDS</t>
  </si>
  <si>
    <t>(fb) ATP MDS</t>
  </si>
  <si>
    <t>nb 2pm WTA MDS</t>
  </si>
  <si>
    <t>nb 7.00pm</t>
  </si>
  <si>
    <t>7.00pm ATP MDS</t>
  </si>
  <si>
    <t>nb 8.30pm</t>
  </si>
  <si>
    <t>11.00am WTA MDD</t>
  </si>
  <si>
    <t>nb 1.00pm</t>
  </si>
  <si>
    <t>(fb) WTA MDD</t>
  </si>
  <si>
    <t>(fb) ATP MDD</t>
  </si>
  <si>
    <t>nb 7.00pm WTA MDS</t>
  </si>
  <si>
    <t>nb 7.00pm ATP MDS</t>
  </si>
  <si>
    <t>11.00am ATP MDD</t>
  </si>
  <si>
    <t>(nb 1.30pm) WTA MDS</t>
  </si>
  <si>
    <t>nb 2.00pm</t>
  </si>
  <si>
    <t>Wheelchair Clinic</t>
  </si>
  <si>
    <t>1.00pm</t>
  </si>
  <si>
    <t>1:00 pm ATP MDD</t>
  </si>
  <si>
    <t>Wheelchair WS</t>
  </si>
  <si>
    <t>3.00pm</t>
  </si>
  <si>
    <t>Wheelchair MS</t>
  </si>
  <si>
    <t>nb 8:30pm</t>
  </si>
  <si>
    <t>SP still rigged</t>
  </si>
  <si>
    <t>ATP MDD</t>
  </si>
  <si>
    <t>Wheelchairs WS SF</t>
  </si>
  <si>
    <t>Wheelchairs MS SF</t>
  </si>
  <si>
    <t>Wheelchairs WD SF</t>
  </si>
  <si>
    <t>Wheelchairs MD SF</t>
  </si>
  <si>
    <t>WTA MDD</t>
  </si>
  <si>
    <t>Wheelchairs WS F</t>
  </si>
  <si>
    <t>nb 3.00pm</t>
  </si>
  <si>
    <t>Wheelchairs MS F</t>
  </si>
  <si>
    <t>Wheelchairs WD F</t>
  </si>
  <si>
    <t>Wheelchairs MD F</t>
  </si>
  <si>
    <t xml:space="preserve">09/03/2026 - Rig Day 1 - 7 people </t>
  </si>
  <si>
    <t>Job</t>
  </si>
  <si>
    <t>Responsible</t>
  </si>
  <si>
    <t>Priority</t>
  </si>
  <si>
    <t>Status</t>
  </si>
  <si>
    <t>Notes</t>
  </si>
  <si>
    <t>Site walkaround</t>
  </si>
  <si>
    <t>All</t>
  </si>
  <si>
    <t>High</t>
  </si>
  <si>
    <t>Open</t>
  </si>
  <si>
    <t>Find cases and move them back to the control room</t>
  </si>
  <si>
    <t>Confirm control room layout</t>
  </si>
  <si>
    <t>Low</t>
  </si>
  <si>
    <t>Confirm the correct power has been provided courtside and in the control room</t>
  </si>
  <si>
    <t>Load racks into cabin - forklift access for desk cases</t>
  </si>
  <si>
    <t xml:space="preserve">Pick up buggy </t>
  </si>
  <si>
    <t>Medium</t>
  </si>
  <si>
    <t>Checklist cameras - Kit H, I (+2 x FS7)</t>
  </si>
  <si>
    <t>Rig court 2 - Kit H</t>
  </si>
  <si>
    <t>Rig court 3 - Kit I</t>
  </si>
  <si>
    <t xml:space="preserve">10/03/2026 - Rig Day 2 - 7 people </t>
  </si>
  <si>
    <t>Checklist cameras - Kit J, F &amp; G (+3 x FS7)</t>
  </si>
  <si>
    <t>Rig court 6 - Kit J</t>
  </si>
  <si>
    <t>Rig court 5 - Kit G</t>
  </si>
  <si>
    <t>Rig court 7 - Kit F</t>
  </si>
  <si>
    <t xml:space="preserve">Run truck dock fibre </t>
  </si>
  <si>
    <t>Plug up courtside fibre</t>
  </si>
  <si>
    <t>Rig back desk hardware</t>
  </si>
  <si>
    <t>Rig streaming hardware</t>
  </si>
  <si>
    <t>Backdesk patching</t>
  </si>
  <si>
    <t>Streaming patching</t>
  </si>
  <si>
    <t>Front desk set up</t>
  </si>
  <si>
    <t xml:space="preserve">11/03/2026 - Rig Day 3 - 8 people </t>
  </si>
  <si>
    <t>Checklist all streaming cameras</t>
  </si>
  <si>
    <t>Rig court 1 - streaming</t>
  </si>
  <si>
    <t>Rig court 4 - streaming</t>
  </si>
  <si>
    <t>Rig GS - streaming</t>
  </si>
  <si>
    <t>Rig BB - streaming</t>
  </si>
  <si>
    <t>Rig stadium - streaming</t>
  </si>
  <si>
    <t>IDF room patching</t>
  </si>
  <si>
    <t>Truck dock patching</t>
  </si>
  <si>
    <t>Rig Camera 2 Court 7</t>
  </si>
  <si>
    <t>TF</t>
  </si>
  <si>
    <t>Rig ELC Green Room</t>
  </si>
  <si>
    <t>Courtside tidying/troubleshooting</t>
  </si>
  <si>
    <t>All vision and data back</t>
  </si>
  <si>
    <t xml:space="preserve">12/03/2026 - Rig Day 4 - 8 people </t>
  </si>
  <si>
    <t>Run WTA GFX Fibre</t>
  </si>
  <si>
    <t>Run Crionet fibre</t>
  </si>
  <si>
    <t xml:space="preserve">Backdesk Initial software checklist </t>
  </si>
  <si>
    <t>Initial Software checklist on director stations</t>
  </si>
  <si>
    <t>Ensure ELC are receiving all feeds</t>
  </si>
  <si>
    <t xml:space="preserve">13/03/2026 - Rig Day 5 - 8 people </t>
  </si>
  <si>
    <t>Ingest Court FX on HRS and GS</t>
  </si>
  <si>
    <t>TF, LA, KS</t>
  </si>
  <si>
    <t>Rig Crionet</t>
  </si>
  <si>
    <t>Audio testing on all courts</t>
  </si>
  <si>
    <t>LA, KS</t>
  </si>
  <si>
    <t>Camera 0 line ups on all courts</t>
  </si>
  <si>
    <t>C1 Cam 0 White balance check, C7 Cam 0 Auto exposure level check</t>
  </si>
  <si>
    <t>LNL</t>
  </si>
  <si>
    <t>Set NIC Settings on all front desk machines</t>
  </si>
  <si>
    <t>Main draw FACS on front desks</t>
  </si>
  <si>
    <t>Tomorrow</t>
  </si>
  <si>
    <t>Streaming FACS</t>
  </si>
  <si>
    <t xml:space="preserve">Macros - setup and testing </t>
  </si>
  <si>
    <t>Tidy up courtside and control room</t>
  </si>
  <si>
    <t>MCR Looms</t>
  </si>
  <si>
    <t>Big Screen FACS</t>
  </si>
  <si>
    <t>FBTG</t>
  </si>
  <si>
    <t>ELC Connection for player tracking</t>
  </si>
  <si>
    <t xml:space="preserve">14/03/2026 - Rig Day 6 - 9 people </t>
  </si>
  <si>
    <t>Main draw FACS</t>
  </si>
  <si>
    <t>Finish streaming FACS</t>
  </si>
  <si>
    <t>Client FACS</t>
  </si>
  <si>
    <t>SRAD Testing</t>
  </si>
  <si>
    <t>TF, FS</t>
  </si>
  <si>
    <t>Replay wipes</t>
  </si>
  <si>
    <t>Tidy up control room</t>
  </si>
  <si>
    <t>Final Cam 0 audio checks</t>
  </si>
  <si>
    <t>LNL, KS</t>
  </si>
  <si>
    <t>15/03/2026 - Ops Day 1 - 5 people</t>
  </si>
  <si>
    <t xml:space="preserve">Streaming start of day checklist </t>
  </si>
  <si>
    <t>Director Station Tx-2 checklists</t>
  </si>
  <si>
    <t xml:space="preserve">Check roll on camera 0s before play </t>
  </si>
  <si>
    <t>SP Disaster Recovery Plan</t>
  </si>
  <si>
    <t>Global H&amp;S Hub</t>
  </si>
  <si>
    <t>Role</t>
  </si>
  <si>
    <t xml:space="preserve">Supported by </t>
  </si>
  <si>
    <t>Outline</t>
  </si>
  <si>
    <t>Resources/Manuals</t>
  </si>
  <si>
    <t>LINKS:</t>
  </si>
  <si>
    <t>Technical Guarantee</t>
  </si>
  <si>
    <t>FS</t>
  </si>
  <si>
    <t>PM</t>
  </si>
  <si>
    <t>- SMART Release and File Checklists 
- TDP/GFX + Fortigate Set-up  
- Consolidate Macros plan 
- Replay Wipe</t>
  </si>
  <si>
    <t>- Link to Event's Folder
- Link to Event's On-Site Checklists
- Link to Event's Technical Requirements Doc
- Link to SP Pre-Event Checklist
- Link to previous year's site survey
- Link to SP Event Hours Log &amp; Form
- Disaster Recovery Procedures</t>
  </si>
  <si>
    <t>Kit Manager</t>
  </si>
  <si>
    <t>HRM</t>
  </si>
  <si>
    <t>PM/?</t>
  </si>
  <si>
    <r>
      <rPr>
        <rFont val="Oswald"/>
        <color theme="1"/>
        <sz val="12.0"/>
      </rPr>
      <t xml:space="preserve">- [Quirks: During event] Monitor quirks; fix onsite or borrow (from ELC) where possible; request spares from the warehouse if needed
- [Quirks: During event] Transfer all quirks from </t>
    </r>
    <r>
      <rPr>
        <rFont val="Oswald"/>
        <i/>
        <color theme="1"/>
        <sz val="12.0"/>
      </rPr>
      <t>Event Specific Kit Chat</t>
    </r>
    <r>
      <rPr>
        <rFont val="Oswald"/>
        <color theme="1"/>
        <sz val="12.0"/>
      </rPr>
      <t xml:space="preserve"> ('Google Spaces') onto 'Quirks' tab
- [Checklisting] Manage the Borrowed List (this document) and ensure items are returned/accounted for
- [Derig] Ensure the Derig Checklists are completed for each kit when its court is derigged 
- [Quirks: Event end] Work with hardware lead to plan for replacement/restock of items. Convert from Quirks Tab to Portal Ticket if required
- [Quirks: Post Event] Send out a post event email summerising state of kit, problems, fixes, replacements and plans going forward</t>
    </r>
  </si>
  <si>
    <t>Quirks Tab</t>
  </si>
  <si>
    <t>Borrowed List</t>
  </si>
  <si>
    <t>Derig Checklists</t>
  </si>
  <si>
    <t>Site Survey</t>
  </si>
  <si>
    <t>- Take all photos and videos according to the site survey checklist
- Complete the Site Survey within a week of the tournament ending by making a copy of the template 
- Fill in the Site Survey Event Learnings Log post event</t>
  </si>
  <si>
    <t>SMART Production Site Survey Template</t>
  </si>
  <si>
    <t>Project Lead</t>
  </si>
  <si>
    <t>- Assist the PM in operations scheduling/rota
- Assist the PM with talking to clients
- Keep tabs on operators' goals and support them to achieve them 
- Lead training sessions on site by evaluating goals and seeing what everyone wants to learn about / any gaps in knowledge? 
- Assist in sending out reports at the end of each day to the relevant clients</t>
  </si>
  <si>
    <t>Operator Event Goals</t>
  </si>
  <si>
    <t xml:space="preserve">Creative Producer </t>
  </si>
  <si>
    <t>PM/JF</t>
  </si>
  <si>
    <t>- Liaise with ATP Media and other clients regarding all creative topics, including how SP can improve their output creatively
- Share all relevant training materials with new starters/crossover operators, and schedule in and lead practice directing sessions on site
- Ensure everyone has a Director Progress Tracker sheet and that they update and monitor it regularly
- Support team members with achieving their creative goals</t>
  </si>
  <si>
    <t>SP Directing Manual 2024</t>
  </si>
  <si>
    <t xml:space="preserve">Welfare &amp; Training Lead </t>
  </si>
  <si>
    <t>PL</t>
  </si>
  <si>
    <t>- Assist the PM in arranging the Welfare fund and what to use it on 
- Checking in on everyone with mental and physical health
- Keep tabs on helping operators with their personal goals for that event
- COVID help!</t>
  </si>
  <si>
    <t>Audio</t>
  </si>
  <si>
    <t>KS</t>
  </si>
  <si>
    <t>- Monitor audio and take ownership of completing the audio mixer checklists for each court
- Test levels of umpire microphones on each court
- Ensure the SP Audio Monitoring 2022 Sheet is updated with any troubleshooting/issues/solutions that may arise on site</t>
  </si>
  <si>
    <t>Rig - Audio Mixers
SP Audio Monitoring</t>
  </si>
  <si>
    <t>Macros</t>
  </si>
  <si>
    <t>LA</t>
  </si>
  <si>
    <t>TG/PM</t>
  </si>
  <si>
    <t xml:space="preserve">- Set-up Macros on each court, the Streaming station and the CleanSwitch with BlackMagic software, adding labels to all the buttons
- Follow the TG's plan for emergency macros, checking off each macro on their corresponding patching list
- Test macros on each court, the streaming station and on the CleanSwitch </t>
  </si>
  <si>
    <t xml:space="preserve">Patching </t>
  </si>
  <si>
    <t>- Ensure all patching is completed for each court's MCU, the CleanSwitch, the Streaming station, the 12x12 and the backdesk Z840.</t>
  </si>
  <si>
    <t>ELC Crossover</t>
  </si>
  <si>
    <t>- Ensure all the ELC Rig checklists are 100% completed
- Ensure all ELC Ops and ROs are happy with all video feeds and audio (court sounds/smart chat) 
- Ensure back up TSPs and TGMs are set up correctly and tested successfully</t>
  </si>
  <si>
    <t>Rig - ELC Crossover</t>
  </si>
  <si>
    <t>Individual Role Checklists</t>
  </si>
  <si>
    <t xml:space="preserve">Kit Manager </t>
  </si>
  <si>
    <t>Pre-Event</t>
  </si>
  <si>
    <t>Y/N</t>
  </si>
  <si>
    <t xml:space="preserve">Do you have the on-site contact details for this event? </t>
  </si>
  <si>
    <t xml:space="preserve">Do you know the freighting/travel arrangements for the kits? </t>
  </si>
  <si>
    <t xml:space="preserve">Is any equipment being hand carried out? </t>
  </si>
  <si>
    <t xml:space="preserve">During the Event </t>
  </si>
  <si>
    <t xml:space="preserve">Has the quirks tracker been updated to include all quirks from the Quirks tab and the Quirks group chat? </t>
  </si>
  <si>
    <r>
      <rPr>
        <rFont val="Oswald"/>
        <color rgb="FF0000FF"/>
        <sz val="12.0"/>
        <u/>
      </rPr>
      <t xml:space="preserve">Hardware Support Tracker </t>
    </r>
    <r>
      <rPr>
        <rFont val="Oswald"/>
        <color rgb="FF0000FF"/>
        <sz val="12.0"/>
      </rPr>
      <t xml:space="preserve"> </t>
    </r>
  </si>
  <si>
    <t>Have all post rig kit emails (including Extras) been sent out in accordance with the template?</t>
  </si>
  <si>
    <t xml:space="preserve">Have the mounting, lenses and white balance sections been updated (if required) on the Rig - Cameras tab after the rig? </t>
  </si>
  <si>
    <t>Rig Cameras Tab</t>
  </si>
  <si>
    <t xml:space="preserve">End of the Event </t>
  </si>
  <si>
    <t xml:space="preserve">If the kits are travelling straight to another event, do you have the onsite details for them? </t>
  </si>
  <si>
    <t xml:space="preserve">If the kits are travelling straight to another event, have you arranged for any replacements to be sent out? </t>
  </si>
  <si>
    <t xml:space="preserve">Have all items on the Borrowed List been returned to their original owner? </t>
  </si>
  <si>
    <t xml:space="preserve">Borrowed List </t>
  </si>
  <si>
    <r>
      <rPr>
        <rFont val="Oswald"/>
        <color rgb="FF0000FF"/>
        <sz val="12.0"/>
        <u/>
      </rPr>
      <t xml:space="preserve">Hardware Support Tracker </t>
    </r>
    <r>
      <rPr>
        <rFont val="Oswald"/>
        <color rgb="FF0000FF"/>
        <sz val="12.0"/>
      </rPr>
      <t xml:space="preserve"> </t>
    </r>
  </si>
  <si>
    <t xml:space="preserve">Are all Derig Checklists completed? </t>
  </si>
  <si>
    <t>Have all post event kit emails (including Extras) been sent out in accordance with the template?</t>
  </si>
  <si>
    <t xml:space="preserve">Site Survey </t>
  </si>
  <si>
    <t xml:space="preserve">Site Survey document been created by making a copy of the template? </t>
  </si>
  <si>
    <t>SP Site Survey Template 2025</t>
  </si>
  <si>
    <t xml:space="preserve">Have you looked over the Site Survey from the previous year? Anything to note? </t>
  </si>
  <si>
    <t xml:space="preserve">Have you looked over the Extras list for the event? Anything specific packed for this event? </t>
  </si>
  <si>
    <t>SP Extras 2025</t>
  </si>
  <si>
    <t xml:space="preserve">Courtside </t>
  </si>
  <si>
    <t>Taken a panoramic picutre of each court from the umpire's chair</t>
  </si>
  <si>
    <t>Taken pictures of the positions of Camera 1, 3, 4 and the Tracking Camera, and what mounting they are using</t>
  </si>
  <si>
    <t xml:space="preserve">Noted what lens has been used on the FS7s and Tracking Cameras on each court </t>
  </si>
  <si>
    <t>Noted the White Balance of Camera 1, 3 and 4 on each court</t>
  </si>
  <si>
    <t xml:space="preserve">Photographed and taken note of what kind of power is supplied to each position (Cam 1, 3 and 4) on each court </t>
  </si>
  <si>
    <t xml:space="preserve">Photograph/take videos of each cable run on each court including:
Camera 1 --&gt; Norwia
Side-on 50m loom --&gt; Norwia
Tracking Camera 90m CAT 6 --&gt; Norwia
Fibre from Norwia --&gt; Courtside fibre box </t>
  </si>
  <si>
    <t>Picture of the position of the audio mixer and noted the XLR runs from near end mics, umpire mic, and up to Cam 1</t>
  </si>
  <si>
    <t xml:space="preserve">Made notes of anything specific or particular on each court e.g. rig under the stands, must have a cable jacket, etc. </t>
  </si>
  <si>
    <t xml:space="preserve">Picture of the fibre provided for each court - is there a courtside fibre box or did the venue provide fibre close to the Norwia? </t>
  </si>
  <si>
    <t xml:space="preserve">If it is a fibre box, where is it located? What terminations are the ports, and note down which ports SP specifically used - take pictures and label </t>
  </si>
  <si>
    <t xml:space="preserve">Have you noted down the length of fibre used, how many cores, and what termination the reel was? </t>
  </si>
  <si>
    <t>Control Room</t>
  </si>
  <si>
    <t xml:space="preserve">Have you taken a photo/video of the entire control room, including all director stations, back desk and the streaming station? </t>
  </si>
  <si>
    <t xml:space="preserve">Have you taken a picture of any TV Compound fibre boxes/patch rooms? </t>
  </si>
  <si>
    <t>If so, what termination are the ports and which ports did SP specifically use? Where did each port correlate to? Note and label on the picture</t>
  </si>
  <si>
    <t xml:space="preserve">Have you taken a picture of the power we were provided and what type of power it was? </t>
  </si>
  <si>
    <t xml:space="preserve">Have you taken a picture of any health and saftey issues? </t>
  </si>
  <si>
    <t xml:space="preserve">Have you included the TV Compound map in the Site Survey, identifying our cabin and the other cabins that we ran cables to? </t>
  </si>
  <si>
    <t xml:space="preserve">Have you taken pictures/videos of all our cables routes withing the TV Compound e.g. to the fibre box, to TATA, to MCR, etc. </t>
  </si>
  <si>
    <t xml:space="preserve">Have you noted down the length of cable, the type of cable, how many cores, and termination for each cable run within the TV Compound? </t>
  </si>
  <si>
    <t>ELC</t>
  </si>
  <si>
    <t>Where are the ELC Bunkers/Booths? Point them out on the Site Map</t>
  </si>
  <si>
    <t xml:space="preserve">Was it Hawkeye Live, Hawkeye Lite or ELC? </t>
  </si>
  <si>
    <t xml:space="preserve">Note down what you provided to ELC for each court </t>
  </si>
  <si>
    <t xml:space="preserve">Take pictures of each of the bunkers/booth, including each court </t>
  </si>
  <si>
    <t xml:space="preserve">Note down the equipment we used for each court e.g. 2 x monitors, 1 x SDI-HDMI Converter, etc. </t>
  </si>
  <si>
    <t xml:space="preserve">Take photos/videos of the cable route to each court e.g. the fibre box in the bunker to the front desk for that court </t>
  </si>
  <si>
    <t xml:space="preserve">Note down the length of fibre/SDI required for each court, and if fibre, what Fibre-SDI converter was used? </t>
  </si>
  <si>
    <t>Miscellaneous</t>
  </si>
  <si>
    <t>How did you travel from the airport to accommodation?</t>
  </si>
  <si>
    <t xml:space="preserve">How did you travel from accommodation to site? </t>
  </si>
  <si>
    <t xml:space="preserve">What food was provided on site? </t>
  </si>
  <si>
    <t xml:space="preserve">Have you included a map of the entire site/bird's eye view from google maps? </t>
  </si>
  <si>
    <t xml:space="preserve">Post Event </t>
  </si>
  <si>
    <t xml:space="preserve">Have you completed the Site Survey document within a week of the event ending? </t>
  </si>
  <si>
    <t xml:space="preserve">Have you filled in the Site Survey Event Learnings Log? </t>
  </si>
  <si>
    <t xml:space="preserve">Have you uploaded the completed Site Survey to the correct event folder on the drive? </t>
  </si>
  <si>
    <t>Production Coordinator</t>
  </si>
  <si>
    <t>On-site</t>
  </si>
  <si>
    <t xml:space="preserve">Daily operations rota created each day and shared with the team? </t>
  </si>
  <si>
    <t>Assisting the PM in ensuring all checklists are completed to 100%</t>
  </si>
  <si>
    <t>Insert link to On-Site Checklists</t>
  </si>
  <si>
    <t xml:space="preserve">Assist the PM with informing ATP Media and other clients of any non-tech issues e.g.transport, covid requirements, etc. </t>
  </si>
  <si>
    <t>Save all OOPs to the correct event folder on the drive</t>
  </si>
  <si>
    <t xml:space="preserve">Record who directs each match everyday </t>
  </si>
  <si>
    <t xml:space="preserve">Update the Event hours log everyday for everyone </t>
  </si>
  <si>
    <r>
      <rPr>
        <rFont val="Oswald"/>
        <color rgb="FF0000FF"/>
        <sz val="12.0"/>
        <u/>
      </rPr>
      <t xml:space="preserve">Event Hours Log Form
</t>
    </r>
    <r>
      <rPr>
        <rFont val="Oswald"/>
        <color rgb="FF0000FF"/>
        <sz val="12.0"/>
      </rPr>
      <t>Event Hours Log SP 2024</t>
    </r>
  </si>
  <si>
    <t>*Update with 2025 versions when ready</t>
  </si>
  <si>
    <t xml:space="preserve">Record the number of court days for Streaming and Full Production </t>
  </si>
  <si>
    <t>Assist the PM in arranging the rota in order for operators to complete their assigned roles and achieve their event goals</t>
  </si>
  <si>
    <t>Lead training sessions on site by evaluating goals and seeing what everyone wants to learn about / any gaps in knowledge?</t>
  </si>
  <si>
    <t>Complete all SMART release and SMART Files steps before copying SMART Files onto the Tracking PCs or connecting network to a PC. Multiple configurators with clashing IPs cause headaches. Copy one release with all SMART files onto network</t>
  </si>
  <si>
    <t>SMART Release</t>
  </si>
  <si>
    <t xml:space="preserve">Are any technical updates required before rigging? PC Names, Drivers, ESET etc. </t>
  </si>
  <si>
    <t>SP Driver Versions Sheet</t>
  </si>
  <si>
    <t xml:space="preserve">Are you using an approved SMART Release? </t>
  </si>
  <si>
    <t>SMART FTP - \SMART Production\SOFTWARE\SP_RELEASES</t>
  </si>
  <si>
    <t>Is the approved SMART File in the release Productions folder? (_SMART Files)</t>
  </si>
  <si>
    <t>Otherwise check SMART FTP - \SMART Production\SOFTWARE\SP_RELEASES\SMART File Library</t>
  </si>
  <si>
    <r>
      <rPr>
        <rFont val="Oswald, Arial"/>
        <color rgb="FF1155CC"/>
        <sz val="12.0"/>
        <u/>
      </rPr>
      <t xml:space="preserve">Check the relevant productions are present in the release by comparing with the SMART Files Tab on the </t>
    </r>
    <r>
      <rPr>
        <rFont val="Oswald, Arial"/>
        <color rgb="FF1155CC"/>
        <sz val="12.0"/>
        <u/>
      </rPr>
      <t>SMART File &amp; Productions sheet</t>
    </r>
    <r>
      <rPr>
        <rFont val="Oswald, Arial"/>
        <color rgb="FF1155CC"/>
        <sz val="12.0"/>
        <u/>
      </rPr>
      <t xml:space="preserve"> to confirm all Productions are present in the SMART File. </t>
    </r>
  </si>
  <si>
    <t>SMART FTP - \SMART Production\SOFTWARE\SP_RELEASES\Productions Library</t>
  </si>
  <si>
    <t>If WTA event. Confirm that WTA_OUT replay wipe is in relevant PAL or NTSC folder</t>
  </si>
  <si>
    <t>WTA_OUT only uses WTA Logo so it is same at all tournaments</t>
  </si>
  <si>
    <t>Make ATP and WTA_IN Replay Wipes and copy them into correct PAL or NTSC Productions once (saves copying them to 5 different PCs later on)</t>
  </si>
  <si>
    <t xml:space="preserve">These are usually available 1 or 2 weeks before tournament. Use Adobe Premiere project files on SP-TESTRIG-TRK. 
NB. NTSC Wipes have more .png images to account for higher fps of footage. </t>
  </si>
  <si>
    <t xml:space="preserve">Open the configurator.ini file in your release.  Check the NVidia and Decklink Driver versions match the latest (or desired) approved versions. 
</t>
  </si>
  <si>
    <t>eg. C:\SMARTConfigurator\Daytona\SMART_2021_09_07_Daytona22\SMARTConfigurator</t>
  </si>
  <si>
    <t xml:space="preserve">Open the NetworkAdaptorSettings file. Disable Jumbo packets by changing the "Intel Base"  "Jumbo Packet" setting to "1514"
</t>
  </si>
  <si>
    <t>eg. C:\SMARTConfigurator\Daytona\SMART_2021_09_07_Daytona22\WorkingDirectories\NetworkAdaptorSettings</t>
  </si>
  <si>
    <t>Court SMART Files</t>
  </si>
  <si>
    <t>Select the correct TSS location from the drop down menus.</t>
  </si>
  <si>
    <t xml:space="preserve">Check that all correct Productions are present and have been applied after loading the SMART File (look for yellow or red errors in console window). </t>
  </si>
  <si>
    <t>SP Productions &amp; SMART Files</t>
  </si>
  <si>
    <t>Change the deployment folder to the current city for each smart file</t>
  </si>
  <si>
    <t>Check 'must be slave' on all TSS unless that TSS is the master TSS (192.168.1.6)</t>
  </si>
  <si>
    <t>Check the correct region production has been applied to SDI Inputs and HEO. PAL (50) or NTSC (60) according to the country</t>
  </si>
  <si>
    <t>Check that the correct Replay Wipe Production is applied to Director and Hot Spare.</t>
  </si>
  <si>
    <t>Change output and input card IDs to match the patching list</t>
  </si>
  <si>
    <t>Make sure VVCs are assigned to an available drive letter on your PCs</t>
  </si>
  <si>
    <t>Select the correct heads for that kit and connect them to Camera Control</t>
  </si>
  <si>
    <t xml:space="preserve">Ensure each PC has the correct IP Address according to Kit and what PC it is. </t>
  </si>
  <si>
    <t>Save the Kit Specific SMART File in _SMART Files folder within release and repeat the last two steps for each additional kit.</t>
  </si>
  <si>
    <t>i.e Kit_B_Monte Carlo.smart, Kit_C_Monte Carlo.smart, Kit_D_Monte Carlo.smart</t>
  </si>
  <si>
    <t>Streaming SMART File</t>
  </si>
  <si>
    <t>Ensure all Court PC IP Addresses match your Kits</t>
  </si>
  <si>
    <t>Ensure latest SMART Graphics executable is being used</t>
  </si>
  <si>
    <t>5.10.0 - check with MA for any updates</t>
  </si>
  <si>
    <t xml:space="preserve">Ensure that there is only one Smart Graphics launched in the smart file on the Z2 PC (SMART Graphics 1) and that it has a flag going into each Webrender (mains and spares) and its port number is set to 40000. </t>
  </si>
  <si>
    <t>Change All Court Names on VVCs and WebRender Outputs to match Tournament.</t>
  </si>
  <si>
    <t>Ensure All ATP Court VVCs are attached to a WebRender</t>
  </si>
  <si>
    <t>Ensure all Court Main and Spare VVCs are connected to CCU on Streaming PC 2</t>
  </si>
  <si>
    <t>Ensure all VVCs are assigned to record to an available drive on each Streaming PC</t>
  </si>
  <si>
    <t>Back Desk SMART File</t>
  </si>
  <si>
    <t>Ensure all Court PCs are phantomed in the Back Desk SMART File.</t>
  </si>
  <si>
    <t>Ensure all Court Main and Spare VVCs are connected to CCU on CCU/REC PC</t>
  </si>
  <si>
    <t>Ensure all Recording VVCs are assigned to an available drive on CCU/REC PC</t>
  </si>
  <si>
    <t>SMART Release Copying</t>
  </si>
  <si>
    <t>SMART release contains all completed Kit and Back Desk SMART Files</t>
  </si>
  <si>
    <t>Copy completed SMART Release onto each tracking PC</t>
  </si>
  <si>
    <t>Copy completed SMART Release onto Z2 for CCU/REC SMART File</t>
  </si>
  <si>
    <t>Makes sense to run CCU/REC Configurator on Z2 so it can be open whilst CCU and SMART Viewer are full screen</t>
  </si>
  <si>
    <t>Copy completed SMART Release onto CCU for Streaming SMART File</t>
  </si>
  <si>
    <t>Makes sense to run Streaming Configurator on CCU PC whilst Z2 is being used for TGM and SMART Graphics</t>
  </si>
  <si>
    <t>Tx days</t>
  </si>
  <si>
    <t>Note any software bugs in this document whilst fresh in the memory.</t>
  </si>
  <si>
    <t>SP Bug Reporting</t>
  </si>
  <si>
    <t>Collate any evidence, look inside the Software working directory for Crash Reports, Screen grabs, screen recordings or videos recreating the bug. Upload to SMART FTP</t>
  </si>
  <si>
    <t>\SMART Production\SOFTWARE\BUG REPORTING</t>
  </si>
  <si>
    <t xml:space="preserve">Log all technical incidents on the incident sheet. </t>
  </si>
  <si>
    <t>Incident &amp; Lessons Log</t>
  </si>
  <si>
    <t>Log all lessons learned to the lessons log</t>
  </si>
  <si>
    <t>Use the Remote Support group for any troubleshooting that may benefit other TGs.</t>
  </si>
  <si>
    <t>Copy the Streaming &amp; Back Desk SMART File into an individual Court release folder.</t>
  </si>
  <si>
    <t>Zip up the individual court SMART Configurator release folder. Upload to SMART FTP</t>
  </si>
  <si>
    <t>\SMART Production\SOFTWARE\SP_RELEASES\End of Event Releases\2022</t>
  </si>
  <si>
    <t>Upload anything else you think may be relevant or unique to this Tournament</t>
  </si>
  <si>
    <t>Creative Producer</t>
  </si>
  <si>
    <t xml:space="preserve">Have you shared all relevant training materials with new starters and crossover operators prior to arriving on site? </t>
  </si>
  <si>
    <t>SP Directing Manual</t>
  </si>
  <si>
    <t>Directing for Crossover Operators</t>
  </si>
  <si>
    <t xml:space="preserve">Have you arranged a practice directing session on site and arranged this with the PM to schedule it into the rig? </t>
  </si>
  <si>
    <t xml:space="preserve">Have you ensured that every operator (including crossover) have a Director Progress Tracker sheet? </t>
  </si>
  <si>
    <t xml:space="preserve">Director Progress Tracker </t>
  </si>
  <si>
    <t>On-Site</t>
  </si>
  <si>
    <t>Have you communicated with ATP Media regularly to discuss how SP can improve their output creatively?</t>
  </si>
  <si>
    <t>Ensure all operators are regularly monitoring and updating their Director Progress Tracker sheets</t>
  </si>
  <si>
    <t xml:space="preserve">Have you lead a practice directing session on site with all new starters and crossover operators? </t>
  </si>
  <si>
    <t xml:space="preserve">Are we ingesting Beauty Cameras and EVS Scenic Playouts? If so, are they being ingested by all courts, looping in and out from each other (refer to patching lists) </t>
  </si>
  <si>
    <t>Ensure that all operators know how to correctly use PIPs for Close Calls</t>
  </si>
  <si>
    <t>Ensure that all operators know how to correctly use the Beauty Jib and EVS Playout Scenic shots</t>
  </si>
  <si>
    <t>Ensure that all operators know how to correctly put out graphics (both ATP and WTA) and how to use the deltatre tablets, including the pre-match, during, and post match order of graphics</t>
  </si>
  <si>
    <t xml:space="preserve">Are print outs of the graphics running orders on each director station? </t>
  </si>
  <si>
    <t xml:space="preserve">Support the team with achieving any directing and creative goals </t>
  </si>
  <si>
    <t xml:space="preserve">Schedule (or assist JF to schedule) the directing review session after the event </t>
  </si>
  <si>
    <t>Try to do this relatively soon after the event</t>
  </si>
  <si>
    <t>RIG GOALS</t>
  </si>
  <si>
    <t>Name</t>
  </si>
  <si>
    <t>Goal</t>
  </si>
  <si>
    <t>Achieved</t>
  </si>
  <si>
    <t>If not acheived, why?</t>
  </si>
  <si>
    <t>Plan made to acheive in ops?</t>
  </si>
  <si>
    <t>JG</t>
  </si>
  <si>
    <t>Independently learn how to rig a side on camera</t>
  </si>
  <si>
    <t>All rigged before he arrived</t>
  </si>
  <si>
    <t>Learn what a gigabob is and how it works</t>
  </si>
  <si>
    <t>GA</t>
  </si>
  <si>
    <t xml:space="preserve">Gain a good overall understanding of the SP setup </t>
  </si>
  <si>
    <t>Ga</t>
  </si>
  <si>
    <t xml:space="preserve">Learn how to rig a side on camera </t>
  </si>
  <si>
    <t>JZ</t>
  </si>
  <si>
    <t>Learn everything there is to know about the Video Review x SP integration</t>
  </si>
  <si>
    <t>Test and checklist all necessary components of court-side hardware to have zero troubleshooting</t>
  </si>
  <si>
    <t>OPERATIONAL GOALS</t>
  </si>
  <si>
    <t>JC</t>
  </si>
  <si>
    <t>Make an error free return to directing</t>
  </si>
  <si>
    <t>SMART File corrupted overnight - sabotage</t>
  </si>
  <si>
    <t>Get a good mix of multi angle and cam 2 replays into my matches</t>
  </si>
  <si>
    <t>NC</t>
  </si>
  <si>
    <t>Get to grips with SMV</t>
  </si>
  <si>
    <t>Learn how to operate graphics on an ATP match</t>
  </si>
  <si>
    <t xml:space="preserve">Do a 3 angle replay </t>
  </si>
  <si>
    <t>Master the start of day checklist</t>
  </si>
  <si>
    <t>Integrate more ELC close calls PIPs / Full Pagers into directing</t>
  </si>
  <si>
    <t>PIP not working properly</t>
  </si>
  <si>
    <t>TRAINING GOALS</t>
  </si>
  <si>
    <t>Look into the new SMART file set up in more detail</t>
  </si>
  <si>
    <t>Any additions to front desk smart files/changes</t>
  </si>
  <si>
    <t>PERSONAL GOALS</t>
  </si>
  <si>
    <t>Reunite with my BFF PP</t>
  </si>
  <si>
    <t>pablo didnt want to see me</t>
  </si>
  <si>
    <t xml:space="preserve">get new friends </t>
  </si>
  <si>
    <t>Find a Carolinas equivalent in Miami beach</t>
  </si>
  <si>
    <t>See the puppies</t>
  </si>
  <si>
    <t xml:space="preserve">Speak an bit of Spanish </t>
  </si>
  <si>
    <t xml:space="preserve">Go roller skating </t>
  </si>
  <si>
    <t>Have a better skin scan result at the La Roche Posay pop-up than last year</t>
  </si>
  <si>
    <t>It' s a scam</t>
  </si>
  <si>
    <t>Insert link to Diagrams Slides/Document including:</t>
  </si>
  <si>
    <t xml:space="preserve">1. General site map </t>
  </si>
  <si>
    <t>4.</t>
  </si>
  <si>
    <t>2. Courtside maps for all courts</t>
  </si>
  <si>
    <t>3. Courtside Audio Set-up for all courts</t>
  </si>
  <si>
    <t>4. TV Compound Map + cable run routes</t>
  </si>
  <si>
    <t>5. ELC Bunkers/Booths Set-ups</t>
  </si>
  <si>
    <t>6. Locations of all fibre boxes - courtside and in TV Compound/Bunkers</t>
  </si>
  <si>
    <t xml:space="preserve">7. Include notes on what equipment is required for each set-up </t>
  </si>
  <si>
    <t>POWER</t>
  </si>
  <si>
    <t>STREAMING</t>
  </si>
  <si>
    <t>BB</t>
  </si>
  <si>
    <t>Power Drop Located?</t>
  </si>
  <si>
    <t>Power On?</t>
  </si>
  <si>
    <t>Cam 1</t>
  </si>
  <si>
    <t xml:space="preserve">FULL PRODUCTION </t>
  </si>
  <si>
    <t>Cam 3</t>
  </si>
  <si>
    <t>Cam 4</t>
  </si>
  <si>
    <t>CONTROL ROOM</t>
  </si>
  <si>
    <t>Red 32 Amp Ceeform Plug</t>
  </si>
  <si>
    <t>Power on?</t>
  </si>
  <si>
    <t>Red 32 Amp Ceeform 1</t>
  </si>
  <si>
    <t>Red 32 Amp Ceeform 2</t>
  </si>
  <si>
    <t>FEEDS</t>
  </si>
  <si>
    <t>Camera Data</t>
  </si>
  <si>
    <t xml:space="preserve">STREAMING </t>
  </si>
  <si>
    <t>Centre Court</t>
  </si>
  <si>
    <t xml:space="preserve">Camera 0 </t>
  </si>
  <si>
    <t xml:space="preserve">Camera 1 </t>
  </si>
  <si>
    <t>Camera 0 SPR</t>
  </si>
  <si>
    <t>Camera 2</t>
  </si>
  <si>
    <t>Camera 3</t>
  </si>
  <si>
    <t>Camera 4</t>
  </si>
  <si>
    <t>FULL PRODUCTION</t>
  </si>
  <si>
    <t>Camera 0</t>
  </si>
  <si>
    <t>Data</t>
  </si>
  <si>
    <t xml:space="preserve"> Head Data</t>
  </si>
  <si>
    <t>Unsure, want to make sure heads are in the right spots</t>
  </si>
  <si>
    <t>Court Feeds Patching</t>
  </si>
  <si>
    <t>Full Production</t>
  </si>
  <si>
    <t>Location A</t>
  </si>
  <si>
    <t>Feed</t>
  </si>
  <si>
    <t>Converter (Courtside)</t>
  </si>
  <si>
    <t>Patch Cable</t>
  </si>
  <si>
    <t>Loom</t>
  </si>
  <si>
    <t>Core</t>
  </si>
  <si>
    <t xml:space="preserve">Fibre Box Patch Cable </t>
  </si>
  <si>
    <t>Fibre Box Name (Courtside)</t>
  </si>
  <si>
    <t>Fibre Box Port (Courtside)</t>
  </si>
  <si>
    <t>Fibre Box Name (TV Compound)</t>
  </si>
  <si>
    <t>Fibre Box Port (TV Compound)</t>
  </si>
  <si>
    <t>Converter (Control room)</t>
  </si>
  <si>
    <t>Location B</t>
  </si>
  <si>
    <t>Main</t>
  </si>
  <si>
    <t>Norwia Kit F</t>
  </si>
  <si>
    <t>SPFIB.50A.4C</t>
  </si>
  <si>
    <t>ST-SC Patch</t>
  </si>
  <si>
    <t>Court 7 Fibre Box (B'CAST-000-H-1)</t>
  </si>
  <si>
    <t>Truck Dock - Rack 109 - B'CAST-000-H-1</t>
  </si>
  <si>
    <t>SPFIB.200A.16C</t>
  </si>
  <si>
    <t>SP Control Room - Kit F</t>
  </si>
  <si>
    <t>Spare</t>
  </si>
  <si>
    <t>Norwia Kit G</t>
  </si>
  <si>
    <t>SPFIB.100A.4C</t>
  </si>
  <si>
    <t>Court 5 Fibre Box (B'CAST-000-J-1)</t>
  </si>
  <si>
    <t>Truck Dock - Rack 109 - B'CAST-000-J-1</t>
  </si>
  <si>
    <t>SP Control Room - Kit G</t>
  </si>
  <si>
    <t>Norwia Kit H</t>
  </si>
  <si>
    <t>SPFIB.100B.4C</t>
  </si>
  <si>
    <t>ST-ST Patch</t>
  </si>
  <si>
    <t>Court 2 Fibre Box (B'CAST-000-J-2)</t>
  </si>
  <si>
    <t>Truck Dock - Rack 110 - GRANDSTAND IDF - RACK 201</t>
  </si>
  <si>
    <t>SP Control Room - Kit H</t>
  </si>
  <si>
    <t>Norwia Kit I</t>
  </si>
  <si>
    <t>SPFIB.100D.4C</t>
  </si>
  <si>
    <t>ST-LC Patch</t>
  </si>
  <si>
    <t>Court 3 ELC Switches (Barrel on to C2 Fibre Box)</t>
  </si>
  <si>
    <t>SP Control Room - Kit I</t>
  </si>
  <si>
    <t>Norwia Kit J</t>
  </si>
  <si>
    <t>SPFIB.150A.4C</t>
  </si>
  <si>
    <t>SP Control Room - Kit J</t>
  </si>
  <si>
    <t>Streaming</t>
  </si>
  <si>
    <t xml:space="preserve">Camera 1 Main </t>
  </si>
  <si>
    <t>AJA T</t>
  </si>
  <si>
    <t>SPFIB.150B.4C</t>
  </si>
  <si>
    <t>Stadium Fibre Box (FIELD CORNER SE)</t>
  </si>
  <si>
    <t>Truck Dock - Rack 102 - FIELD CORNER SE</t>
  </si>
  <si>
    <t>SPFIB.200B.16C</t>
  </si>
  <si>
    <t>AJA FIDO-R 01</t>
  </si>
  <si>
    <t>SP Control Room - Streaming Rack</t>
  </si>
  <si>
    <t>Camera 1 Spare</t>
  </si>
  <si>
    <t>AJA FIDO-R 06</t>
  </si>
  <si>
    <t>-</t>
  </si>
  <si>
    <t>10m ST-SC Patch Cable</t>
  </si>
  <si>
    <t>Granstand Booth Fibre Box (B'CAST-002-K-2)</t>
  </si>
  <si>
    <t>AJA FIDO-R 02</t>
  </si>
  <si>
    <t>AJA FIDO-R 07</t>
  </si>
  <si>
    <t>SPFIB.150I.4C</t>
  </si>
  <si>
    <t>BB Fibre Box (B'CAST-000-G-2)</t>
  </si>
  <si>
    <t>Truck Dock - Rack 111 - B'CAST-000-G-2</t>
  </si>
  <si>
    <t>AJA FIDO-R 03</t>
  </si>
  <si>
    <t>AJA FIDO-R 08</t>
  </si>
  <si>
    <t>SPFIB.50B.4C</t>
  </si>
  <si>
    <t>Court 1 Fibre Box (B'CAST-000-J-3)</t>
  </si>
  <si>
    <t>Truck Dock - Rack 109 - B'CAST-000-J-3</t>
  </si>
  <si>
    <t>AJA FIDO-R 04</t>
  </si>
  <si>
    <t>AJA FIDO-R 09</t>
  </si>
  <si>
    <t>SPFIB.50E.4C</t>
  </si>
  <si>
    <t>AJA FIDO-R 05</t>
  </si>
  <si>
    <t>AJA FIDO-R 10</t>
  </si>
  <si>
    <t>WTA Graphics</t>
  </si>
  <si>
    <t>Client Patching</t>
  </si>
  <si>
    <t>Converter</t>
  </si>
  <si>
    <t>Fibre Box Name e.g. (TV Compound)</t>
  </si>
  <si>
    <t>Fibre Box Port</t>
  </si>
  <si>
    <t xml:space="preserve">Fibre Box Port </t>
  </si>
  <si>
    <t>Converter (ELC Bunker)</t>
  </si>
  <si>
    <t>SP Control Room</t>
  </si>
  <si>
    <t>All Courts Camera 0</t>
  </si>
  <si>
    <t>Norwia T</t>
  </si>
  <si>
    <t>ST-ST</t>
  </si>
  <si>
    <t>Truck Dock - Rack 110 - (via GRANDSTAND IDF - RACK 201)</t>
  </si>
  <si>
    <t>35-36</t>
  </si>
  <si>
    <t>Green Room - GRANDSTAND IDF - RACK 202</t>
  </si>
  <si>
    <t>47-48</t>
  </si>
  <si>
    <t>Noriwa R</t>
  </si>
  <si>
    <t>ELC Bunker</t>
  </si>
  <si>
    <t>Chromasource FP Courts</t>
  </si>
  <si>
    <t>45-46</t>
  </si>
  <si>
    <t>33-34</t>
  </si>
  <si>
    <t>All Camera Feeds from FP Courts</t>
  </si>
  <si>
    <t>MCR</t>
  </si>
  <si>
    <t>Beauty Camera - Site</t>
  </si>
  <si>
    <t>50m 6 core SDI</t>
  </si>
  <si>
    <t>Beauty Camera - Jib</t>
  </si>
  <si>
    <t>World Feed</t>
  </si>
  <si>
    <t xml:space="preserve">REF Cam </t>
  </si>
  <si>
    <t>Court 7 PGM</t>
  </si>
  <si>
    <t>Court 5 PGM</t>
  </si>
  <si>
    <t>Court 2 PGM</t>
  </si>
  <si>
    <t>Court 3 PGM</t>
  </si>
  <si>
    <t>Court 6 PGM</t>
  </si>
  <si>
    <t>Scoring Feed</t>
  </si>
  <si>
    <t>SMT</t>
  </si>
  <si>
    <t>Smart Director Feed</t>
  </si>
  <si>
    <t>90m CAT6</t>
  </si>
  <si>
    <t>N/A</t>
  </si>
  <si>
    <t>Crionet</t>
  </si>
  <si>
    <t>Fibre Box Name</t>
  </si>
  <si>
    <t>Converter (Crionet)</t>
  </si>
  <si>
    <t>Grandstand Stream PGM</t>
  </si>
  <si>
    <t>Norwia B (Streaming Rack)</t>
  </si>
  <si>
    <t xml:space="preserve">e.g. ST - LC Patch </t>
  </si>
  <si>
    <t>SPFIB.50D.8C</t>
  </si>
  <si>
    <t>e.g. TV Compound Fibre Box 1</t>
  </si>
  <si>
    <t>e.g. TV Compound Fibre Box 2</t>
  </si>
  <si>
    <t>e.g. 200m 4 Core (SPFIB200G.4C)</t>
  </si>
  <si>
    <t xml:space="preserve"> Norwia Reciever</t>
  </si>
  <si>
    <t>Court BB Stream PGM</t>
  </si>
  <si>
    <t>Court 1 Stream PGM</t>
  </si>
  <si>
    <t>Court 7 Stream PGM</t>
  </si>
  <si>
    <t xml:space="preserve">Court 5 Stream PGM </t>
  </si>
  <si>
    <t xml:space="preserve">Court 2 Stream PGM </t>
  </si>
  <si>
    <t xml:space="preserve">Court 3 Stream PGM </t>
  </si>
  <si>
    <t xml:space="preserve">Court 6 Stream PGM </t>
  </si>
  <si>
    <t xml:space="preserve">Court 4 Stream PGM </t>
  </si>
  <si>
    <t>WTA GFX</t>
  </si>
  <si>
    <t>Converter (WTA GFX)</t>
  </si>
  <si>
    <t>WTA GFX Court 7 Key</t>
  </si>
  <si>
    <t>Fieldcaster Tranciever</t>
  </si>
  <si>
    <t>LC-ST Patch</t>
  </si>
  <si>
    <t>Fieldcaster Reciever</t>
  </si>
  <si>
    <t>WTA GFX Court 7 Fill</t>
  </si>
  <si>
    <t>WTA GFX Court 5 Key</t>
  </si>
  <si>
    <t>WTA GFX Court 5 Fill</t>
  </si>
  <si>
    <t>WTA GFX Court 2 Key</t>
  </si>
  <si>
    <t>WTA GFX Court 2 Fill</t>
  </si>
  <si>
    <t>WTA GFX Court 3 Key</t>
  </si>
  <si>
    <t>WTA GFX Court 3 Fill</t>
  </si>
  <si>
    <t>WTA GFX Court 6 Key</t>
  </si>
  <si>
    <t>WTA GFX Court 6 Fill</t>
  </si>
  <si>
    <t>Backdesk Switch - Netgear M4300</t>
  </si>
  <si>
    <t>Management VLAN: 1</t>
  </si>
  <si>
    <t>IP: 10.40.0.60</t>
  </si>
  <si>
    <t>Subnet: 255.255.0.0</t>
  </si>
  <si>
    <t>1G Ports</t>
  </si>
  <si>
    <t>10G Ports</t>
  </si>
  <si>
    <t>SFP Ports Ports</t>
  </si>
  <si>
    <t>13-14</t>
  </si>
  <si>
    <t>15-16</t>
  </si>
  <si>
    <t>17-18</t>
  </si>
  <si>
    <t>19-20</t>
  </si>
  <si>
    <t>21-22</t>
  </si>
  <si>
    <t>23-24</t>
  </si>
  <si>
    <t>25-26</t>
  </si>
  <si>
    <t>27-28</t>
  </si>
  <si>
    <r>
      <rPr>
        <rFont val="Montserrat"/>
        <b/>
        <color theme="1"/>
        <sz val="10.0"/>
      </rPr>
      <t>LAG 1</t>
    </r>
    <r>
      <rPr>
        <rFont val="Montserrat"/>
        <color theme="1"/>
        <sz val="10.0"/>
      </rPr>
      <t xml:space="preserve">
KIT F Switch Port 1
10.40.6.60</t>
    </r>
  </si>
  <si>
    <r>
      <rPr>
        <rFont val="Montserrat"/>
        <b/>
        <color theme="1"/>
        <sz val="10.0"/>
      </rPr>
      <t>LAG 2</t>
    </r>
    <r>
      <rPr>
        <rFont val="Montserrat"/>
        <color theme="1"/>
        <sz val="10.0"/>
      </rPr>
      <t xml:space="preserve">
KIT G Switch Port 1
10.40.7.60</t>
    </r>
  </si>
  <si>
    <r>
      <rPr>
        <rFont val="Montserrat"/>
        <b/>
        <color theme="1"/>
        <sz val="10.0"/>
      </rPr>
      <t>LAG 3</t>
    </r>
    <r>
      <rPr>
        <rFont val="Montserrat"/>
        <color theme="1"/>
        <sz val="10.0"/>
      </rPr>
      <t xml:space="preserve">
KIT H Switch Port 1
10.40.8.60</t>
    </r>
  </si>
  <si>
    <r>
      <rPr>
        <rFont val="Montserrat"/>
        <b/>
        <color theme="1"/>
        <sz val="10.0"/>
      </rPr>
      <t>LAG 4</t>
    </r>
    <r>
      <rPr>
        <rFont val="Montserrat"/>
        <color theme="1"/>
        <sz val="10.0"/>
      </rPr>
      <t xml:space="preserve">
KIT I Switch   Port 1 
10.40.9.60</t>
    </r>
  </si>
  <si>
    <r>
      <rPr>
        <rFont val="Montserrat"/>
        <b/>
        <color theme="1"/>
        <sz val="10.0"/>
      </rPr>
      <t xml:space="preserve">LAG 5
</t>
    </r>
    <r>
      <rPr>
        <rFont val="Montserrat"/>
        <color theme="1"/>
        <sz val="10.0"/>
      </rPr>
      <t>KIT J Switch   Port 1
10.40.10.60</t>
    </r>
  </si>
  <si>
    <r>
      <rPr>
        <rFont val="Montserrat"/>
        <b/>
        <color theme="1"/>
        <sz val="10.0"/>
      </rPr>
      <t xml:space="preserve">Firewall 1
</t>
    </r>
    <r>
      <rPr>
        <rFont val="Montserrat"/>
        <color theme="1"/>
        <sz val="10.0"/>
      </rPr>
      <t>Internet Gateway
10.40.0.200</t>
    </r>
  </si>
  <si>
    <r>
      <rPr>
        <rFont val="Montserrat"/>
        <b/>
        <color theme="1"/>
        <sz val="10.0"/>
      </rPr>
      <t>Z2 PC</t>
    </r>
    <r>
      <rPr>
        <rFont val="Montserrat"/>
        <color theme="1"/>
        <sz val="10.0"/>
      </rPr>
      <t xml:space="preserve">
10.40.0.5</t>
    </r>
  </si>
  <si>
    <r>
      <rPr>
        <rFont val="Montserrat"/>
        <b/>
        <color theme="1"/>
        <sz val="10.0"/>
      </rPr>
      <t>CCU PC</t>
    </r>
    <r>
      <rPr>
        <rFont val="Montserrat"/>
        <color theme="1"/>
        <sz val="10.0"/>
      </rPr>
      <t xml:space="preserve">
10.40.0.6</t>
    </r>
  </si>
  <si>
    <r>
      <rPr>
        <rFont val="Montserrat"/>
        <b/>
        <color theme="1"/>
        <sz val="10.0"/>
      </rPr>
      <t>MCAP PC</t>
    </r>
    <r>
      <rPr>
        <rFont val="Montserrat"/>
        <color theme="1"/>
        <sz val="10.0"/>
      </rPr>
      <t xml:space="preserve">
10.40.0.1</t>
    </r>
  </si>
  <si>
    <r>
      <rPr>
        <rFont val="Montserrat"/>
        <b/>
        <color theme="1"/>
        <sz val="10.0"/>
      </rPr>
      <t>LAG 1</t>
    </r>
    <r>
      <rPr>
        <rFont val="Montserrat"/>
        <color theme="1"/>
        <sz val="10.0"/>
      </rPr>
      <t xml:space="preserve">
KIT F Switch Port 2
10.40.6.60</t>
    </r>
  </si>
  <si>
    <r>
      <rPr>
        <rFont val="Montserrat"/>
        <b/>
        <color theme="1"/>
        <sz val="10.0"/>
      </rPr>
      <t>LAG 2</t>
    </r>
    <r>
      <rPr>
        <rFont val="Montserrat"/>
        <color theme="1"/>
        <sz val="10.0"/>
      </rPr>
      <t xml:space="preserve">
KIT G Switch Port 2
10.40.7.60</t>
    </r>
  </si>
  <si>
    <r>
      <rPr>
        <rFont val="Montserrat"/>
        <b/>
        <color theme="1"/>
        <sz val="10.0"/>
      </rPr>
      <t>LAG 3</t>
    </r>
    <r>
      <rPr>
        <rFont val="Montserrat"/>
        <color theme="1"/>
        <sz val="10.0"/>
      </rPr>
      <t xml:space="preserve">
KIT H Switch Port 2
10.40.8.60</t>
    </r>
  </si>
  <si>
    <r>
      <rPr>
        <rFont val="Montserrat"/>
        <b/>
        <color theme="1"/>
        <sz val="10.0"/>
      </rPr>
      <t>LAG 4</t>
    </r>
    <r>
      <rPr>
        <rFont val="Montserrat"/>
        <color theme="1"/>
        <sz val="10.0"/>
      </rPr>
      <t xml:space="preserve">
KIT I Switch   Port 2
10.40.9.60</t>
    </r>
  </si>
  <si>
    <r>
      <rPr>
        <rFont val="Montserrat"/>
        <b/>
        <color theme="1"/>
        <sz val="10.0"/>
      </rPr>
      <t>LAG 5</t>
    </r>
    <r>
      <rPr>
        <rFont val="Montserrat"/>
        <color theme="1"/>
        <sz val="10.0"/>
      </rPr>
      <t xml:space="preserve">
KIT J Switch   Port 2
10.40.10.60</t>
    </r>
  </si>
  <si>
    <r>
      <rPr>
        <rFont val="Montserrat"/>
        <b/>
        <color theme="1"/>
        <sz val="10.0"/>
      </rPr>
      <t xml:space="preserve">Firewall 2
</t>
    </r>
    <r>
      <rPr>
        <rFont val="Montserrat"/>
        <color theme="1"/>
        <sz val="10.0"/>
      </rPr>
      <t>SP Interface
10.40.0.150</t>
    </r>
  </si>
  <si>
    <r>
      <rPr>
        <rFont val="Montserrat"/>
        <b/>
        <color theme="1"/>
        <sz val="10.0"/>
      </rPr>
      <t>Streaming Switch</t>
    </r>
    <r>
      <rPr>
        <rFont val="Montserrat"/>
        <color theme="1"/>
        <sz val="10.0"/>
      </rPr>
      <t xml:space="preserve">
</t>
    </r>
  </si>
  <si>
    <r>
      <rPr>
        <rFont val="Montserrat"/>
        <b/>
        <color theme="1"/>
        <sz val="10.0"/>
      </rPr>
      <t>Backdesk Videohub</t>
    </r>
    <r>
      <rPr>
        <rFont val="Montserrat"/>
        <color theme="1"/>
        <sz val="10.0"/>
      </rPr>
      <t xml:space="preserve"> 
10.40.0.50</t>
    </r>
  </si>
  <si>
    <r>
      <rPr>
        <rFont val="Montserrat"/>
        <b/>
        <color theme="1"/>
        <sz val="10.0"/>
      </rPr>
      <t>SCAP PC</t>
    </r>
    <r>
      <rPr>
        <rFont val="Montserrat"/>
        <color theme="1"/>
        <sz val="10.0"/>
      </rPr>
      <t xml:space="preserve">
10.40.0.2</t>
    </r>
  </si>
  <si>
    <t>Streaming Switch - Netgear JGS524</t>
  </si>
  <si>
    <t>Unmanaged Switch</t>
  </si>
  <si>
    <r>
      <rPr>
        <rFont val="Montserrat"/>
        <b/>
        <color theme="1"/>
        <sz val="10.0"/>
      </rPr>
      <t>Encoder 1</t>
    </r>
    <r>
      <rPr>
        <rFont val="Montserrat"/>
        <color theme="1"/>
        <sz val="10.0"/>
      </rPr>
      <t xml:space="preserve">
</t>
    </r>
    <r>
      <rPr>
        <rFont val="Montserrat"/>
        <i/>
        <color theme="1"/>
        <sz val="10.0"/>
      </rPr>
      <t>"Insert IP here"</t>
    </r>
  </si>
  <si>
    <r>
      <rPr>
        <rFont val="Montserrat"/>
        <b/>
        <color theme="1"/>
        <sz val="10.0"/>
      </rPr>
      <t>Encoder 2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</si>
  <si>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>Encoder 3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</si>
  <si>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>Encoder 4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</si>
  <si>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>Encoder 5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</si>
  <si>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 xml:space="preserve">Encoder 6 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</si>
  <si>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>Encoder 7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</si>
  <si>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 xml:space="preserve">Encoder 8 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</si>
  <si>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 xml:space="preserve">Encoder 9 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</si>
  <si>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>Encoder 10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</si>
  <si>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>Encoder 11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</si>
  <si>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>Encoder 12</t>
    </r>
    <r>
      <rPr>
        <rFont val="Montserrat"/>
        <color theme="1"/>
        <sz val="10.0"/>
      </rPr>
      <t xml:space="preserve">
"Insert IP here"</t>
    </r>
  </si>
  <si>
    <r>
      <rPr>
        <rFont val="Montserrat"/>
        <b/>
        <color theme="1"/>
        <sz val="10.0"/>
      </rPr>
      <t>Streaming Videohub</t>
    </r>
    <r>
      <rPr>
        <rFont val="Montserrat"/>
        <color theme="1"/>
        <sz val="10.0"/>
      </rPr>
      <t xml:space="preserve">
10.40.11.50</t>
    </r>
  </si>
  <si>
    <r>
      <rPr>
        <rFont val="Montserrat"/>
        <b/>
        <color theme="1"/>
        <sz val="10.0"/>
      </rPr>
      <t xml:space="preserve">Main Streaming PC
</t>
    </r>
    <r>
      <rPr>
        <rFont val="Montserrat"/>
        <b val="0"/>
        <color theme="1"/>
        <sz val="10.0"/>
      </rPr>
      <t>10.40.11.10</t>
    </r>
  </si>
  <si>
    <r>
      <rPr>
        <rFont val="Montserrat"/>
        <b/>
        <color theme="1"/>
        <sz val="10.0"/>
      </rPr>
      <t xml:space="preserve">Spare Streaming PC
</t>
    </r>
    <r>
      <rPr>
        <rFont val="Montserrat"/>
        <b val="0"/>
        <color theme="1"/>
        <sz val="10.0"/>
      </rPr>
      <t>10.40.11.12</t>
    </r>
  </si>
  <si>
    <t>Firewall 1 - Fortinet 60E - Internet</t>
  </si>
  <si>
    <t>IP: 10.40.0.200</t>
  </si>
  <si>
    <t>DMZ</t>
  </si>
  <si>
    <t>WAN 1</t>
  </si>
  <si>
    <t>WAN 2</t>
  </si>
  <si>
    <r>
      <rPr>
        <rFont val="Montserrat"/>
        <b/>
        <color theme="1"/>
        <sz val="10.0"/>
      </rPr>
      <t xml:space="preserve">Internet Gateway
</t>
    </r>
    <r>
      <rPr>
        <rFont val="Montserrat"/>
        <color theme="1"/>
        <sz val="10.0"/>
      </rPr>
      <t>Backdesk Switch Port 19
10.40.0.60</t>
    </r>
  </si>
  <si>
    <t>Internet</t>
  </si>
  <si>
    <t>Firewall 2 - Fortinet - 61F - SP x ELC</t>
  </si>
  <si>
    <t>IP: 10.40.0.150</t>
  </si>
  <si>
    <t>A</t>
  </si>
  <si>
    <t>B</t>
  </si>
  <si>
    <r>
      <rPr>
        <rFont val="Montserrat"/>
        <b/>
        <color theme="1"/>
        <sz val="10.0"/>
      </rPr>
      <t>SP Interface</t>
    </r>
    <r>
      <rPr>
        <rFont val="Montserrat"/>
        <color theme="1"/>
        <sz val="10.0"/>
      </rPr>
      <t xml:space="preserve">
Backdesk Switch Port 20
10.40.0.60</t>
    </r>
  </si>
  <si>
    <r>
      <rPr>
        <rFont val="Montserrat"/>
        <b/>
        <color theme="1"/>
        <sz val="10.0"/>
      </rPr>
      <t xml:space="preserve">ELC Interface
</t>
    </r>
    <r>
      <rPr>
        <rFont val="Montserrat"/>
        <b val="0"/>
        <color theme="1"/>
        <sz val="10.0"/>
      </rPr>
      <t>ELC Switch?
10.10.?.?</t>
    </r>
  </si>
  <si>
    <t>Streaming URLs</t>
  </si>
  <si>
    <t>Link to SRAD Stream Details Sheet</t>
  </si>
  <si>
    <t>SP Encoder Name</t>
  </si>
  <si>
    <t>Court #</t>
  </si>
  <si>
    <t>Tunneler Name</t>
  </si>
  <si>
    <t>Entry Point</t>
  </si>
  <si>
    <t>Port</t>
  </si>
  <si>
    <t>Passphrase</t>
  </si>
  <si>
    <t>Full Link</t>
  </si>
  <si>
    <t>Monitor Link</t>
  </si>
  <si>
    <t>Correct Feed?</t>
  </si>
  <si>
    <t>Extras 2 Encoder 1</t>
  </si>
  <si>
    <t>ATP_1000_Miami_Stadium_SINGLECAM</t>
  </si>
  <si>
    <t>34.194.113.16</t>
  </si>
  <si>
    <t>hawkeye2025</t>
  </si>
  <si>
    <t>srt://34.194.113.16:33190?passphrase=hawkeye2025</t>
  </si>
  <si>
    <t>srt://52.208.139.68:33416?passphrase=hawkeye2025</t>
  </si>
  <si>
    <t>Extras 2 Encoder 2</t>
  </si>
  <si>
    <t>ATP_1000_Miami_Grandstand_SINGLECAM</t>
  </si>
  <si>
    <t>34.227.39.11</t>
  </si>
  <si>
    <t>srt://34.227.39.11:33204?passphrase=hawkeye2025</t>
  </si>
  <si>
    <t>srt://52.210.129.220:33618?passphrase=hawkeye2025</t>
  </si>
  <si>
    <t>Extras 2 Encoder 3</t>
  </si>
  <si>
    <t>Court BB</t>
  </si>
  <si>
    <t>ATP_1000_Miami_ButchBuchholz_SINGLECAM</t>
  </si>
  <si>
    <t>srt://34.194.113.16:33191?passphrase=hawkeye2025</t>
  </si>
  <si>
    <t>srt://52.208.139.68:33436?passphrase=hawkeye2025</t>
  </si>
  <si>
    <t>Extras 2 Encoder 4</t>
  </si>
  <si>
    <t>ATP_1000_Miami_Court1_SINGLECAM</t>
  </si>
  <si>
    <t>srt://34.227.39.11:33207?passphrase=hawkeye2025</t>
  </si>
  <si>
    <t>srt://52.210.129.220:33622?passphrase=hawkeye2025</t>
  </si>
  <si>
    <t>Extras 2 Encoder 5</t>
  </si>
  <si>
    <t>ATP_1000_Miami_Court 4_SINGLECAM</t>
  </si>
  <si>
    <t>srt://34.194.113.16:33210?passphrase=hawkeye2025</t>
  </si>
  <si>
    <t>srt://52.208.139.68:33457?passphrase=hawkeye2025</t>
  </si>
  <si>
    <t>Extras 2 Encoder 6</t>
  </si>
  <si>
    <t>ATP_1000_Miami_Court7_SINGLECAM</t>
  </si>
  <si>
    <t>srt://34.194.113.16:33200?passphrase=hawkeye2025</t>
  </si>
  <si>
    <t>srt://52.208.139.68:33456?passphrase=hawkeye2025</t>
  </si>
  <si>
    <t>Extras 2 Encoder 7</t>
  </si>
  <si>
    <t>ATP_1000_Miami_Court5_SINGLECAM</t>
  </si>
  <si>
    <t>srt://34.194.113.16:33199?passphrase=hawkeye2025</t>
  </si>
  <si>
    <t>srt://52.208.139.68:33453?passphrase=hawkeye2025</t>
  </si>
  <si>
    <t>Extras 2 Encoder 8</t>
  </si>
  <si>
    <t>ATP_1000_Miami_Court2_SINGLECAM</t>
  </si>
  <si>
    <t>srt://34.194.113.16:33196?passphrase=hawkeye2025</t>
  </si>
  <si>
    <t>srt://52.208.139.68:33450?passphrase=hawkeye2025</t>
  </si>
  <si>
    <t>Extras 2 Encoder 11</t>
  </si>
  <si>
    <t>ATP_1000_Miami_Court3_SINGLECAM</t>
  </si>
  <si>
    <t>srt://34.227.39.11:33208?passphrase=hawkeye2025</t>
  </si>
  <si>
    <t>srt://52.210.129.220:33625?passphrase=hawkeye2025</t>
  </si>
  <si>
    <t>Extras 2 Encoder 10</t>
  </si>
  <si>
    <t>ATP_1000_Miami_Court6_SINGLECAM</t>
  </si>
  <si>
    <t>srt://34.227.39.11:33209?passphrase=hawkeye2025</t>
  </si>
  <si>
    <t>srt://52.210.129.220:33628?passphrase=hawkeye2025</t>
  </si>
  <si>
    <t>Court Name</t>
  </si>
  <si>
    <t>Production Type</t>
  </si>
  <si>
    <t>SP Kit</t>
  </si>
  <si>
    <t>TV Broadcast Letter</t>
  </si>
  <si>
    <t>No. of Live Days</t>
  </si>
  <si>
    <t>Qualies Dates</t>
  </si>
  <si>
    <t>Main Draw Dates</t>
  </si>
  <si>
    <t xml:space="preserve">Court 7
</t>
  </si>
  <si>
    <t>F</t>
  </si>
  <si>
    <t>E</t>
  </si>
  <si>
    <t>15/03 - 16/03</t>
  </si>
  <si>
    <t>17/03 - 23/03</t>
  </si>
  <si>
    <t xml:space="preserve">Court 5
</t>
  </si>
  <si>
    <t>G</t>
  </si>
  <si>
    <t>15/03 - 17/03</t>
  </si>
  <si>
    <t>18/03 - 24/03</t>
  </si>
  <si>
    <t xml:space="preserve">Court 2
</t>
  </si>
  <si>
    <t>H</t>
  </si>
  <si>
    <t>18/03 - 21/03</t>
  </si>
  <si>
    <t xml:space="preserve">Court 3
</t>
  </si>
  <si>
    <t>I</t>
  </si>
  <si>
    <t xml:space="preserve">Court 6
</t>
  </si>
  <si>
    <t>J</t>
  </si>
  <si>
    <t xml:space="preserve">Hard Rock Stadium
 </t>
  </si>
  <si>
    <t>Extras 2</t>
  </si>
  <si>
    <t>18/03 - 29/03</t>
  </si>
  <si>
    <t xml:space="preserve">Grandstand
 </t>
  </si>
  <si>
    <t>17/03 - 26/03</t>
  </si>
  <si>
    <t xml:space="preserve">Court BB
 </t>
  </si>
  <si>
    <t>C</t>
  </si>
  <si>
    <t>17/03 - 24/03</t>
  </si>
  <si>
    <t xml:space="preserve">Court 1
 </t>
  </si>
  <si>
    <t>D</t>
  </si>
  <si>
    <t xml:space="preserve">Court 4
 </t>
  </si>
  <si>
    <t>Kit F</t>
  </si>
  <si>
    <t>INPUTS</t>
  </si>
  <si>
    <t>OUTPUTS</t>
  </si>
  <si>
    <t>NORWIA INPUTS</t>
  </si>
  <si>
    <t>From</t>
  </si>
  <si>
    <t>Videohub Input #</t>
  </si>
  <si>
    <t>Input Name</t>
  </si>
  <si>
    <t>Patched?</t>
  </si>
  <si>
    <t>Videohub Output #</t>
  </si>
  <si>
    <t>Destination Name</t>
  </si>
  <si>
    <t>MACROS</t>
  </si>
  <si>
    <t>Norwia Outputs</t>
  </si>
  <si>
    <t>Hard Patched (Norwia Port 1)</t>
  </si>
  <si>
    <t xml:space="preserve">Cam 1 </t>
  </si>
  <si>
    <t>DIR DL IP 1</t>
  </si>
  <si>
    <t>NOR OP 1</t>
  </si>
  <si>
    <t>SPR DL IP 1</t>
  </si>
  <si>
    <t>Hard Patched (Norwia Port 2)</t>
  </si>
  <si>
    <t>Cam 2</t>
  </si>
  <si>
    <t>DIR DL IP 2</t>
  </si>
  <si>
    <t>NOR OP 2</t>
  </si>
  <si>
    <t>SPR DL IP 2</t>
  </si>
  <si>
    <t>Hard Patched (Norwia Port 3)</t>
  </si>
  <si>
    <t>DIR DL IP 3</t>
  </si>
  <si>
    <t>NOR OP 3</t>
  </si>
  <si>
    <t>SPR DL IP 3</t>
  </si>
  <si>
    <t>Hard Patched (Norwia Port 4)</t>
  </si>
  <si>
    <t>DIR DL IP 4</t>
  </si>
  <si>
    <t>NOR OP 4</t>
  </si>
  <si>
    <t>SPR DL IP 4</t>
  </si>
  <si>
    <t>Hard Patched (Norwia Port 5)</t>
  </si>
  <si>
    <t>Cam 0</t>
  </si>
  <si>
    <t>NOR OP 5</t>
  </si>
  <si>
    <t>Hard Patched (Norwia Port 6)</t>
  </si>
  <si>
    <t>NOR OP 6</t>
  </si>
  <si>
    <t>DIR DL IP 5</t>
  </si>
  <si>
    <t>Spare Clean Backup Input</t>
  </si>
  <si>
    <t>DIR DL IP 6</t>
  </si>
  <si>
    <t>Spare Dirty Backup Input</t>
  </si>
  <si>
    <t>SPR DL IP 5</t>
  </si>
  <si>
    <t>SPR DL IP 6</t>
  </si>
  <si>
    <t>KEY</t>
  </si>
  <si>
    <t>DIR DL OP 7</t>
  </si>
  <si>
    <t>Director Clean OP</t>
  </si>
  <si>
    <t>Hard Patched</t>
  </si>
  <si>
    <t>DIR DL OP 8</t>
  </si>
  <si>
    <t>Director Dirty OP</t>
  </si>
  <si>
    <t>Dirty Outputs</t>
  </si>
  <si>
    <t>SPR DL OP 7</t>
  </si>
  <si>
    <t>Spare Clean OP</t>
  </si>
  <si>
    <t>Clean Outputs</t>
  </si>
  <si>
    <t>SPR DL OP 8</t>
  </si>
  <si>
    <t>Spare Dirty OP</t>
  </si>
  <si>
    <t>Cameras</t>
  </si>
  <si>
    <t>Hawkeye Backup Inputs</t>
  </si>
  <si>
    <t>80x80 VH IP 41</t>
  </si>
  <si>
    <t>Ingest VH</t>
  </si>
  <si>
    <t>Streaming VH IP 11</t>
  </si>
  <si>
    <t>Streaming Station</t>
  </si>
  <si>
    <t>12/14/1</t>
  </si>
  <si>
    <t>80x80 VH IP 51</t>
  </si>
  <si>
    <t>Director Clean PGM</t>
  </si>
  <si>
    <t>Video Review</t>
  </si>
  <si>
    <t>13/15/1</t>
  </si>
  <si>
    <t>80x80 VH IP 61</t>
  </si>
  <si>
    <t>Director Dirty PGM</t>
  </si>
  <si>
    <t>KIT G</t>
  </si>
  <si>
    <t>80x80 VH IP 42</t>
  </si>
  <si>
    <t>Streaming VH IP 12</t>
  </si>
  <si>
    <t>80x80 VH IP 52</t>
  </si>
  <si>
    <t>80x80 VH IP 62</t>
  </si>
  <si>
    <t>KIT H</t>
  </si>
  <si>
    <t>80x80 VH IP 43</t>
  </si>
  <si>
    <t>Streaming VH IP 13</t>
  </si>
  <si>
    <t>80x80 VH IP 53</t>
  </si>
  <si>
    <t>80x80 VH IP 63</t>
  </si>
  <si>
    <t>KIT I</t>
  </si>
  <si>
    <t>80x80 VH IP 44</t>
  </si>
  <si>
    <t>Streaming VH IP 14</t>
  </si>
  <si>
    <t>80x80 VH IP 54</t>
  </si>
  <si>
    <t>80x80 VH IP 64</t>
  </si>
  <si>
    <t>KIT J</t>
  </si>
  <si>
    <t>80x80 VH IP 45</t>
  </si>
  <si>
    <t>Streaming VH IP 15</t>
  </si>
  <si>
    <t>80x80 VH IP 55</t>
  </si>
  <si>
    <t>80x80 VH IP 65</t>
  </si>
  <si>
    <r>
      <rPr>
        <rFont val="Oswald, Arial"/>
        <b/>
        <color rgb="FF000000"/>
        <sz val="18.0"/>
      </rPr>
      <t xml:space="preserve">Backdesk Rack Patching List                                                  </t>
    </r>
    <r>
      <rPr>
        <rFont val="Oswald, Arial"/>
        <b/>
        <color rgb="FFFF0000"/>
        <sz val="18.0"/>
      </rPr>
      <t xml:space="preserve">                      </t>
    </r>
  </si>
  <si>
    <t xml:space="preserve">80 x 80 Patch Panel </t>
  </si>
  <si>
    <t>FROM</t>
  </si>
  <si>
    <t>INPUT NAME</t>
  </si>
  <si>
    <t>DESTINATION NAME</t>
  </si>
  <si>
    <t>NORWIAS/AJAS</t>
  </si>
  <si>
    <t>Loop Out Port</t>
  </si>
  <si>
    <t>Deltatre</t>
  </si>
  <si>
    <t>C7 ATP Key</t>
  </si>
  <si>
    <t>1/21</t>
  </si>
  <si>
    <t>Main Capture PC DL IP 1</t>
  </si>
  <si>
    <t>C7 ATP Fill</t>
  </si>
  <si>
    <t>2/22</t>
  </si>
  <si>
    <t>Main Capture PC DL IP 2</t>
  </si>
  <si>
    <t>C5 ATP Key</t>
  </si>
  <si>
    <t>3/23</t>
  </si>
  <si>
    <t>Main Capture PC DL IP 3</t>
  </si>
  <si>
    <t>C5 ATP Fill</t>
  </si>
  <si>
    <t>4/24</t>
  </si>
  <si>
    <t>Main Capture PC DL IP 4</t>
  </si>
  <si>
    <t>C2 ATP Key</t>
  </si>
  <si>
    <t>5/25</t>
  </si>
  <si>
    <t>Main Capture PC DL IP 5</t>
  </si>
  <si>
    <t>C2 ATP Fill</t>
  </si>
  <si>
    <t>6/26</t>
  </si>
  <si>
    <t>Main Capture PC DL IP 6</t>
  </si>
  <si>
    <t>C3 ATP Key</t>
  </si>
  <si>
    <t>7/27</t>
  </si>
  <si>
    <t>Main Capture PC DL IP 7</t>
  </si>
  <si>
    <t>C3 ATP Fill</t>
  </si>
  <si>
    <t>8/28</t>
  </si>
  <si>
    <t>Main Capture PC DL IP 8</t>
  </si>
  <si>
    <t>C6 ATP Key</t>
  </si>
  <si>
    <t>9/29</t>
  </si>
  <si>
    <t>Main Capture PC DL IP 9</t>
  </si>
  <si>
    <t>C6 ATP Fill</t>
  </si>
  <si>
    <t>10/30</t>
  </si>
  <si>
    <t>Main Capture PC DL IP 10</t>
  </si>
  <si>
    <t>Main Capture PC DL IP 11</t>
  </si>
  <si>
    <t>Site Beauty</t>
  </si>
  <si>
    <t>Main Capture PC DL IP 12</t>
  </si>
  <si>
    <t>Jib Beauty</t>
  </si>
  <si>
    <t>Main Capture PC DL IP 13</t>
  </si>
  <si>
    <t>ELC C7 Chromasource</t>
  </si>
  <si>
    <t>Main Capture PC DL IP 14</t>
  </si>
  <si>
    <t>ELC C5 Chromasource</t>
  </si>
  <si>
    <t>Main Capture PC DL IP 15</t>
  </si>
  <si>
    <t>ELC C2 Chromasource</t>
  </si>
  <si>
    <t>Main Capture PC DL IP 16</t>
  </si>
  <si>
    <t>ELC C3 Chromasource</t>
  </si>
  <si>
    <t>Any</t>
  </si>
  <si>
    <t>SDI Monitor</t>
  </si>
  <si>
    <t>C7 WTA Key</t>
  </si>
  <si>
    <t>Spare Capture PC DL IP 1</t>
  </si>
  <si>
    <t>C7 WTA Fill</t>
  </si>
  <si>
    <t>Spare Capture PC DL IP 2</t>
  </si>
  <si>
    <t>C5 WTA Key</t>
  </si>
  <si>
    <t>Spare Capture PC DL IP 3</t>
  </si>
  <si>
    <t>C5 WTA Fill</t>
  </si>
  <si>
    <t>Spare Capture PC DL IP 4</t>
  </si>
  <si>
    <t>C2 WTA Key</t>
  </si>
  <si>
    <t>Spare Capture PC DL IP 5</t>
  </si>
  <si>
    <t>C2 WTA Fill</t>
  </si>
  <si>
    <t>Spare Capture PC DL IP 6</t>
  </si>
  <si>
    <t>C3 WTA Key</t>
  </si>
  <si>
    <t>Spare Capture PC DL IP 7</t>
  </si>
  <si>
    <t>C3 WTA Fill</t>
  </si>
  <si>
    <t>Spare Capture PC DL IP 8</t>
  </si>
  <si>
    <t>C6 WTA Key</t>
  </si>
  <si>
    <t>Spare Capture PC DL IP 9</t>
  </si>
  <si>
    <t>C6 WTA Fill</t>
  </si>
  <si>
    <t>Spare Capture PC DL IP 10</t>
  </si>
  <si>
    <t>Spare Capture PC DL IP 11</t>
  </si>
  <si>
    <t>Spare Capture PC DL IP 12</t>
  </si>
  <si>
    <t>Spare Capture PC DL IP 13</t>
  </si>
  <si>
    <t>ELC C6 Chromasource</t>
  </si>
  <si>
    <t>Spare Capture PC DL IP 14</t>
  </si>
  <si>
    <t>Spare Capture PC DL IP 15</t>
  </si>
  <si>
    <t>Streaming VH OP 11</t>
  </si>
  <si>
    <t>Stadium Cam 0</t>
  </si>
  <si>
    <t>Spare Capture PC DL IP 16</t>
  </si>
  <si>
    <t>Streaming VH OP 12</t>
  </si>
  <si>
    <t>Grandstand Cam 0</t>
  </si>
  <si>
    <t>Streaming VH OP 13</t>
  </si>
  <si>
    <t>Court BB Cam 0</t>
  </si>
  <si>
    <t>Streaming VH OP 14</t>
  </si>
  <si>
    <t>Court 1 Cam 0</t>
  </si>
  <si>
    <t>Streaming VH OP 15</t>
  </si>
  <si>
    <t>Court 4 Cam 0</t>
  </si>
  <si>
    <t>Kit F VH OP 17</t>
  </si>
  <si>
    <t>Court 7 Cam 0</t>
  </si>
  <si>
    <t>Kit G VH OP 17</t>
  </si>
  <si>
    <t>Court 5 Cam 0</t>
  </si>
  <si>
    <t>Kit H VH OP 17</t>
  </si>
  <si>
    <t>Court 2 Cam 0</t>
  </si>
  <si>
    <t>Kit I VH OP 17</t>
  </si>
  <si>
    <t>Court 3 Cam 0</t>
  </si>
  <si>
    <t>Kit J VH OP 17</t>
  </si>
  <si>
    <t>Court 6 Cam 0</t>
  </si>
  <si>
    <t>Kit F VH OP 19</t>
  </si>
  <si>
    <t>Court 7 Clean PGM</t>
  </si>
  <si>
    <t>ELC
GREEN ROOM</t>
  </si>
  <si>
    <t>Norwia A</t>
  </si>
  <si>
    <t>Kit G VH OP 19</t>
  </si>
  <si>
    <t>Court 5 Clean PGM</t>
  </si>
  <si>
    <t>Kit H VH OP 19</t>
  </si>
  <si>
    <t>Court 2 Clean PGM</t>
  </si>
  <si>
    <t>Kit I VH OP 19</t>
  </si>
  <si>
    <t>Court 3 Clean PGM</t>
  </si>
  <si>
    <t>Kit J VH OP 19</t>
  </si>
  <si>
    <t>Court 6 Clean PGM</t>
  </si>
  <si>
    <t>Main Streaming 2 DL OP 6</t>
  </si>
  <si>
    <t>CCU Output</t>
  </si>
  <si>
    <t>Kit F VH OP 20</t>
  </si>
  <si>
    <t>Court 7 Dirty PGM</t>
  </si>
  <si>
    <t>CCU PC DL IP 1</t>
  </si>
  <si>
    <t>Kit G VH OP 20</t>
  </si>
  <si>
    <t>Court 5 Dirty PGM</t>
  </si>
  <si>
    <t>CCU PC DL IP 2</t>
  </si>
  <si>
    <t>Kit H VH OP 20</t>
  </si>
  <si>
    <t>Court 2 Dirty PGM</t>
  </si>
  <si>
    <t>CCU PC DL IP 3</t>
  </si>
  <si>
    <t>Kit I VH OP 20</t>
  </si>
  <si>
    <t>Court 3 Dirty PGM</t>
  </si>
  <si>
    <t>CCU PC DL IP 4</t>
  </si>
  <si>
    <t>Kit J VH OP 20</t>
  </si>
  <si>
    <t>Court 6 Dirty PGM</t>
  </si>
  <si>
    <t>CCU PC DL IP 5</t>
  </si>
  <si>
    <t>CCU PC DL IP 6</t>
  </si>
  <si>
    <t>CCU PC DL IP 7</t>
  </si>
  <si>
    <t>CCU PC DL IP 8</t>
  </si>
  <si>
    <t>Ref Cam</t>
  </si>
  <si>
    <t>C7 Chromasource</t>
  </si>
  <si>
    <t>C5 Chromasource</t>
  </si>
  <si>
    <t>C2 Chromasource</t>
  </si>
  <si>
    <t>C3 Chromasource</t>
  </si>
  <si>
    <t>C6 Chromasource</t>
  </si>
  <si>
    <t>e</t>
  </si>
  <si>
    <t>Courts GS, BB, 1, 4 - Main Streaming PC 1</t>
  </si>
  <si>
    <t>IP Address: 10.40.11.10</t>
  </si>
  <si>
    <t>Norwias</t>
  </si>
  <si>
    <t>Loop Out Ports</t>
  </si>
  <si>
    <t>Decklink Port</t>
  </si>
  <si>
    <r>
      <rPr>
        <rFont val="Oswald"/>
        <b/>
        <color rgb="FFFFFFFF"/>
        <sz val="9.0"/>
      </rPr>
      <t>Input/</t>
    </r>
    <r>
      <rPr>
        <rFont val="Oswald"/>
        <b/>
        <color rgb="FF000000"/>
        <sz val="9.0"/>
      </rPr>
      <t>Output</t>
    </r>
  </si>
  <si>
    <r>
      <rPr>
        <rFont val="Oswald"/>
        <b/>
        <color rgb="FFFFFFFF"/>
        <sz val="9.0"/>
      </rPr>
      <t>From/</t>
    </r>
    <r>
      <rPr>
        <rFont val="Oswald"/>
        <b/>
        <color theme="1"/>
        <sz val="9.0"/>
      </rPr>
      <t>To</t>
    </r>
  </si>
  <si>
    <t>AJA FIDO-R 01 OP 1</t>
  </si>
  <si>
    <t>Main Streaming PC 1 DL IP 1</t>
  </si>
  <si>
    <t>Streaming VH OP 1</t>
  </si>
  <si>
    <t>AJA FIDO-R 02 OP 1</t>
  </si>
  <si>
    <t>Main Streaming PC 1 DL IP 2</t>
  </si>
  <si>
    <t>Streaming VH OP 2</t>
  </si>
  <si>
    <t>AJA FIDO-R 03 OP 1</t>
  </si>
  <si>
    <t>Main Streaming PC 1 DL IP 3</t>
  </si>
  <si>
    <t>Streaming VH OP 3</t>
  </si>
  <si>
    <t>AJA FIDO-R 04 OP 1</t>
  </si>
  <si>
    <t>Main Streaming PC 1 DL IP 4</t>
  </si>
  <si>
    <t>Streaming VH OP 4</t>
  </si>
  <si>
    <t>AJA FIDO-R 05 OP 1</t>
  </si>
  <si>
    <t>Main Streaming PC 1 DL IP 5</t>
  </si>
  <si>
    <t>Streaming VH OP 5</t>
  </si>
  <si>
    <t>AJA FIDO-R 06 OP 1</t>
  </si>
  <si>
    <t>Stadium Cam 0 Spare</t>
  </si>
  <si>
    <t>Main Streaming PC 2 DL IP 1</t>
  </si>
  <si>
    <t>AJA FIDO-R 07 OP 1</t>
  </si>
  <si>
    <t>Grandstand Cam 0 Spare</t>
  </si>
  <si>
    <t>Main Streaming PC 2 DL IP 2</t>
  </si>
  <si>
    <t xml:space="preserve">Court 5 Cam 0 </t>
  </si>
  <si>
    <t>AJA FIDO-R 08 OP 1</t>
  </si>
  <si>
    <t>Court BB Cam 0 Spare</t>
  </si>
  <si>
    <t>Main Streaming PC 2 DL IP 3</t>
  </si>
  <si>
    <t xml:space="preserve">Court 2 Cam 0 </t>
  </si>
  <si>
    <t>AJA FIDO-R 09 OP 1</t>
  </si>
  <si>
    <t>Court 1 Cam 0 Spare</t>
  </si>
  <si>
    <t>Main Streaming PC 2 DL IP 4</t>
  </si>
  <si>
    <t xml:space="preserve">Court 3 Cam 0 </t>
  </si>
  <si>
    <t>AJA FIDO-R 010 OP 1</t>
  </si>
  <si>
    <t>Court 4 Cam 0 Spare</t>
  </si>
  <si>
    <t>Main Streaming PC 2 DL IP 5</t>
  </si>
  <si>
    <t xml:space="preserve">Court 6 Cam 0 </t>
  </si>
  <si>
    <t>Kit F VH OP 18</t>
  </si>
  <si>
    <t>80x80 VH IP 36</t>
  </si>
  <si>
    <t>Kit G VH OP 18</t>
  </si>
  <si>
    <t>80x80 VH IP 37</t>
  </si>
  <si>
    <t>Stadium Stream PGM</t>
  </si>
  <si>
    <t>Streaming VH IP 21</t>
  </si>
  <si>
    <t>Stadium Stream PGM Output</t>
  </si>
  <si>
    <t>Kit H VH OP 18</t>
  </si>
  <si>
    <t>80x80 VH IP 38</t>
  </si>
  <si>
    <t>Streaming VH IP 22</t>
  </si>
  <si>
    <t>Grandstand Stream PGM Output</t>
  </si>
  <si>
    <t>Kit I VH OP 18</t>
  </si>
  <si>
    <t>80x80 VH IP 39</t>
  </si>
  <si>
    <t>Streaming VH IP 23</t>
  </si>
  <si>
    <t>Court BB Stream PGM Output</t>
  </si>
  <si>
    <t>Kit J VH OP 18</t>
  </si>
  <si>
    <t>80x80 VH IP 40</t>
  </si>
  <si>
    <t>Streaming VH IP 24</t>
  </si>
  <si>
    <t>Court 1 Stream PGM Output</t>
  </si>
  <si>
    <t>Court 4 Stream PGM</t>
  </si>
  <si>
    <t>Streaming VH IP 25</t>
  </si>
  <si>
    <t>Court 4 Stream PGM Output</t>
  </si>
  <si>
    <t>19</t>
  </si>
  <si>
    <t>21/1</t>
  </si>
  <si>
    <t>Magewell Encoder 1</t>
  </si>
  <si>
    <t>Magewells</t>
  </si>
  <si>
    <t xml:space="preserve">Courts 7, 5, 2, 3, 6 - Main Streaming PC 2 </t>
  </si>
  <si>
    <t>22/2</t>
  </si>
  <si>
    <t>Magewell Encoder 2</t>
  </si>
  <si>
    <t>IP Address: 10.40.11.12</t>
  </si>
  <si>
    <t>Main Streaming PC 1 OP 12</t>
  </si>
  <si>
    <t>23/3</t>
  </si>
  <si>
    <t>Magewell Encoder 3</t>
  </si>
  <si>
    <r>
      <rPr>
        <rFont val="Oswald"/>
        <b/>
        <color rgb="FFFFFFFF"/>
        <sz val="9.0"/>
      </rPr>
      <t>Input/</t>
    </r>
    <r>
      <rPr>
        <rFont val="Oswald"/>
        <b/>
        <color rgb="FF000000"/>
        <sz val="9.0"/>
      </rPr>
      <t>Output</t>
    </r>
  </si>
  <si>
    <r>
      <rPr>
        <rFont val="Oswald"/>
        <b/>
        <color rgb="FFFFFFFF"/>
        <sz val="9.0"/>
      </rPr>
      <t>From/</t>
    </r>
    <r>
      <rPr>
        <rFont val="Oswald"/>
        <b/>
        <color theme="1"/>
        <sz val="9.0"/>
      </rPr>
      <t>To</t>
    </r>
  </si>
  <si>
    <t>Main Streaming PC 1 OP 13</t>
  </si>
  <si>
    <t>24/4</t>
  </si>
  <si>
    <t>Magewell Encoder 4</t>
  </si>
  <si>
    <t>Streaming VH OP 6</t>
  </si>
  <si>
    <t>Main Streaming PC 1 OP 14</t>
  </si>
  <si>
    <t>25/5</t>
  </si>
  <si>
    <t>Magewell Encoder 5</t>
  </si>
  <si>
    <t>Streaming VH OP 7</t>
  </si>
  <si>
    <t>Main Streaming PC 1 OP 15</t>
  </si>
  <si>
    <t>26/11</t>
  </si>
  <si>
    <t>Magewell Encoder 6</t>
  </si>
  <si>
    <t>Streaming VH OP 8</t>
  </si>
  <si>
    <t>Main Streaming PC 1 OP 16</t>
  </si>
  <si>
    <t>27/12</t>
  </si>
  <si>
    <t>Magewell Encoder 7</t>
  </si>
  <si>
    <t>Streaming VH OP 9</t>
  </si>
  <si>
    <t>Main Streaming PC 2 OP 12</t>
  </si>
  <si>
    <t>28/13</t>
  </si>
  <si>
    <t>Magewell Encoder 8</t>
  </si>
  <si>
    <t>Streaming VH OP 10</t>
  </si>
  <si>
    <t>Main Streaming PC 2 OP 13</t>
  </si>
  <si>
    <t>Magewell Encoder 9</t>
  </si>
  <si>
    <t>Main Streaming PC 2 OP 14</t>
  </si>
  <si>
    <t>30/15</t>
  </si>
  <si>
    <t>Magewell Encoder 10</t>
  </si>
  <si>
    <t>Main Streaming PC 2 OP 15</t>
  </si>
  <si>
    <t>29/14</t>
  </si>
  <si>
    <t>Magewell Encoder 11</t>
  </si>
  <si>
    <t>Main Streaming PC 2 OP 16</t>
  </si>
  <si>
    <t>Magewell Encoder 12</t>
  </si>
  <si>
    <t>Hendo</t>
  </si>
  <si>
    <t>Norwia B</t>
  </si>
  <si>
    <t>Big Screen</t>
  </si>
  <si>
    <t>Streaming VH IP 26</t>
  </si>
  <si>
    <t>Court 7 Stream PGM Output</t>
  </si>
  <si>
    <t>Streaming VH IP 27</t>
  </si>
  <si>
    <t xml:space="preserve">Court 5 Stream PGM Output </t>
  </si>
  <si>
    <t>Streaming VH IP 28</t>
  </si>
  <si>
    <t xml:space="preserve">Court 2 Stream PGM Output </t>
  </si>
  <si>
    <t>Streaming VH IP 29</t>
  </si>
  <si>
    <t xml:space="preserve">Court 3 Stream PGM Output </t>
  </si>
  <si>
    <t>Streaming VH IP 30</t>
  </si>
  <si>
    <t xml:space="preserve">Court 6 Stream PGM Output </t>
  </si>
  <si>
    <t>Muybridge Camera</t>
  </si>
  <si>
    <t xml:space="preserve">Adjust template according to number of courts - diagrams also based off the standard patching diagrams - if your patching diagrams are different then ensure your macros match! </t>
  </si>
  <si>
    <r>
      <rPr>
        <rFont val="Oswald, Arial"/>
        <b/>
        <color rgb="FFFFFFFF"/>
        <sz val="13.0"/>
      </rPr>
      <t>MACROS MANUAL</t>
    </r>
    <r>
      <rPr>
        <rFont val="Oswald, Arial"/>
        <b/>
        <color rgb="FF000000"/>
        <sz val="13.0"/>
      </rPr>
      <t xml:space="preserve">
SP Macros 2024</t>
    </r>
  </si>
  <si>
    <t>Have you made the Streaming macros?</t>
  </si>
  <si>
    <t>Diagrams
Streaming Macros - Streaming 40x40 Videohub (Streamdeck)</t>
  </si>
  <si>
    <t>Have you made the ATP Graphics macros?</t>
  </si>
  <si>
    <t>Have you made the WTA Graphics macros?</t>
  </si>
  <si>
    <t>Page Up</t>
  </si>
  <si>
    <t xml:space="preserve"> Grandstand Main</t>
  </si>
  <si>
    <t>Court 7 Main</t>
  </si>
  <si>
    <t xml:space="preserve"> Grandstand Spare</t>
  </si>
  <si>
    <t>Court 7 Spare</t>
  </si>
  <si>
    <t xml:space="preserve"> Grandstand Cam 1</t>
  </si>
  <si>
    <t>Court 7 Cam 1</t>
  </si>
  <si>
    <t>Court 6 Main</t>
  </si>
  <si>
    <t>Have you made the Streaming SDI Monitor macros?</t>
  </si>
  <si>
    <t>Source</t>
  </si>
  <si>
    <t>Destination</t>
  </si>
  <si>
    <t>Have you made the Main Draw SDI Monitor macros?</t>
  </si>
  <si>
    <t>Have you made the Front Desk macros?</t>
  </si>
  <si>
    <t>Page Number</t>
  </si>
  <si>
    <t>Court BB Main</t>
  </si>
  <si>
    <t>Court 5 Main</t>
  </si>
  <si>
    <t>Court BB Spare</t>
  </si>
  <si>
    <t>Court 5 Spare</t>
  </si>
  <si>
    <t>Court BB Cam 1</t>
  </si>
  <si>
    <t>Court 5 Cam 1</t>
  </si>
  <si>
    <t>Court 6 Spare</t>
  </si>
  <si>
    <t>Page Down</t>
  </si>
  <si>
    <t>Court 1 Main</t>
  </si>
  <si>
    <t>Court 2 Main</t>
  </si>
  <si>
    <t>Court 1 Spare</t>
  </si>
  <si>
    <t>Court 2 Spare</t>
  </si>
  <si>
    <t>Court 1 Cam 1</t>
  </si>
  <si>
    <t>Court 2 Cam 1</t>
  </si>
  <si>
    <t>Court 6 Cam 1</t>
  </si>
  <si>
    <t>Court 4 Main</t>
  </si>
  <si>
    <t>Court 3 Main</t>
  </si>
  <si>
    <t>Court 4 Spare</t>
  </si>
  <si>
    <t>Court 3 Spare</t>
  </si>
  <si>
    <t>Court 4 Cam 1</t>
  </si>
  <si>
    <t>Court 3 Cam 1</t>
  </si>
  <si>
    <t>Streaming Macros</t>
  </si>
  <si>
    <t>Diagrams
Graphics Macros - Backdesk 80x80 Videohub (Streamdeck)</t>
  </si>
  <si>
    <t>Court 7 ATP</t>
  </si>
  <si>
    <t>Court 5 ATP</t>
  </si>
  <si>
    <t>Court 2 ATP</t>
  </si>
  <si>
    <t>Court 3 ATP</t>
  </si>
  <si>
    <t>Court 6 ATP</t>
  </si>
  <si>
    <t>All ATP</t>
  </si>
  <si>
    <t>Court 7 WTA</t>
  </si>
  <si>
    <t>Court 5 WTA</t>
  </si>
  <si>
    <t>Court 2 WTA</t>
  </si>
  <si>
    <t>Court 3 WTA</t>
  </si>
  <si>
    <t>Court 6 WTA</t>
  </si>
  <si>
    <t>All WTA</t>
  </si>
  <si>
    <t>Graphics Macros</t>
  </si>
  <si>
    <t>Diagrams
Streaming SDI Monitor Macros - Backdesk 40X40 Videohub (Streamdeck)</t>
  </si>
  <si>
    <t>Streaming SDI Monitor</t>
  </si>
  <si>
    <t>Diagrams
Main Draw SDI Monitor Macros - Backdesk 80x80 Videohub (Streamdeck)</t>
  </si>
  <si>
    <t>Court 7 Dirty</t>
  </si>
  <si>
    <t>Court 5 Dirty</t>
  </si>
  <si>
    <t>Court 2 Dirty</t>
  </si>
  <si>
    <t>Court 3 Dirty</t>
  </si>
  <si>
    <t>Court 6 Dirty</t>
  </si>
  <si>
    <t>Court 7 Clean</t>
  </si>
  <si>
    <t>Court 5 Clean</t>
  </si>
  <si>
    <t>Court 2 Clean</t>
  </si>
  <si>
    <t>Court 3 Clean</t>
  </si>
  <si>
    <t>Court 6 Clean</t>
  </si>
  <si>
    <t>Main Draw SDI Monitor</t>
  </si>
  <si>
    <t>DIAGRAMS
Court 20x20 Videohub Macros</t>
  </si>
  <si>
    <t>Clean Main</t>
  </si>
  <si>
    <t>Dirty Main</t>
  </si>
  <si>
    <t>Clean Spare</t>
  </si>
  <si>
    <t>Dirty Spare</t>
  </si>
  <si>
    <t xml:space="preserve">Please insert the relevant links in the checklist below and adjust percentages table/formulas according to number of courts </t>
  </si>
  <si>
    <t>Overview Summary</t>
  </si>
  <si>
    <t>Completion %</t>
  </si>
  <si>
    <t xml:space="preserve">On Arrival </t>
  </si>
  <si>
    <t>COVID-19 Checklist</t>
  </si>
  <si>
    <t>Courtside Hardware Rig</t>
  </si>
  <si>
    <t xml:space="preserve">Cameras </t>
  </si>
  <si>
    <t>Control Room Hardware Rig - Front Desk</t>
  </si>
  <si>
    <t xml:space="preserve">Control Room Hardware Rig - Back Desk </t>
  </si>
  <si>
    <t>TV Compound Cable Runs</t>
  </si>
  <si>
    <t>Vision &amp; Data</t>
  </si>
  <si>
    <t>Software Checklists - Front Desk</t>
  </si>
  <si>
    <t>Software Checklists - Back Desk</t>
  </si>
  <si>
    <t>Data/GFX/TDS</t>
  </si>
  <si>
    <t>Broadcast</t>
  </si>
  <si>
    <t>FACS Checks</t>
  </si>
  <si>
    <r>
      <rPr>
        <rFont val="Oswald"/>
        <color rgb="FFFFFFFF"/>
        <sz val="12.0"/>
      </rPr>
      <t xml:space="preserve">Site walk around + everyone to sign the DRA for each court - </t>
    </r>
    <r>
      <rPr>
        <rFont val="Oswald"/>
        <i/>
        <color rgb="FFFF0000"/>
        <sz val="12.0"/>
      </rPr>
      <t>Add link to Event Folder on Drive with VRA/DRA</t>
    </r>
  </si>
  <si>
    <t xml:space="preserve">All kits located and left in a suitable place </t>
  </si>
  <si>
    <t>Control room layout confirmed, including each director station, streaming station and backdesk</t>
  </si>
  <si>
    <t>Check facilites on site, including food, accreditation, air con, water, internet/wifi</t>
  </si>
  <si>
    <t xml:space="preserve">All control room furniture provided </t>
  </si>
  <si>
    <t xml:space="preserve">Introduce yourself to site contacts and clients </t>
  </si>
  <si>
    <t>Talk to Gravity about camera positions on shared courts</t>
  </si>
  <si>
    <t>Confirm the testing requirements for the event</t>
  </si>
  <si>
    <t>Confirm the protocol for a positive case within the team, including testing requirements and isolation</t>
  </si>
  <si>
    <t>Confirm what the definition of a close contact is for this event</t>
  </si>
  <si>
    <t>Confirm the protocol for a close contact of a positive case, including testing requirements and isolation</t>
  </si>
  <si>
    <t>Ensure preventative measures are put in place e.g. anti-bacterial gel and wipes, masks, screens</t>
  </si>
  <si>
    <r>
      <rPr>
        <rFont val="Oswald"/>
        <color rgb="FFFFFFFF"/>
        <sz val="12.0"/>
      </rPr>
      <t xml:space="preserve">Power provided at Camera 1, 3 and 4 positions, according to the </t>
    </r>
    <r>
      <rPr>
        <rFont val="Oswald"/>
        <i/>
        <color rgb="FFFF0000"/>
        <sz val="12.0"/>
      </rPr>
      <t>tech requirements document - add link here</t>
    </r>
  </si>
  <si>
    <t>Courtside fibre box located and the cable route confirmed</t>
  </si>
  <si>
    <t>Camera 1 rigged using suitable mounting and SDI running to the Norwia</t>
  </si>
  <si>
    <t>Cameras 3 and 4 rigged opposite the umpire's chair on tripods with robotic heads attached</t>
  </si>
  <si>
    <t>50m SDI loom with CAT 6 run from the Norwia to the nearest side-on camera</t>
  </si>
  <si>
    <t>SDI and CAT 6 ran between Camera 3 and Camera 4</t>
  </si>
  <si>
    <t xml:space="preserve">4 microphones (or 2 for streaming) rigged and XLRs ran </t>
  </si>
  <si>
    <t>Umpire Microphone XLR rigged and ran to the audio mixer</t>
  </si>
  <si>
    <t>Tracking Camera rigged using suitable mounting with 90m CAT 6 ran to the Norwia</t>
  </si>
  <si>
    <t>Fibre loom ran between the courtside fibre box and the Norwia</t>
  </si>
  <si>
    <t xml:space="preserve">Norwia powered in a suitable position with all cables plugged in </t>
  </si>
  <si>
    <t>Audio Mixer powered with all cables plugged in</t>
  </si>
  <si>
    <t>All hardware suitably sheltered from rain/sun</t>
  </si>
  <si>
    <t xml:space="preserve">All hardware and cables neat, tidy AND LABELLED as SMART Production so there is no confusion. </t>
  </si>
  <si>
    <r>
      <rPr>
        <rFont val="Oswald"/>
        <color rgb="FFFFFFFF"/>
        <sz val="12.0"/>
      </rPr>
      <t xml:space="preserve">Camera 1 FS7 checklist completed - </t>
    </r>
    <r>
      <rPr>
        <rFont val="Oswald"/>
        <i/>
        <color rgb="FFFF0000"/>
        <sz val="12.0"/>
      </rPr>
      <t>add link to on-site checklists here</t>
    </r>
    <r>
      <rPr>
        <rFont val="Oswald"/>
        <color rgb="FFFFFFFF"/>
        <sz val="12.0"/>
      </rPr>
      <t xml:space="preserve"> </t>
    </r>
  </si>
  <si>
    <r>
      <rPr>
        <rFont val="Oswald"/>
        <color rgb="FFFFFFFF"/>
        <sz val="12.0"/>
      </rPr>
      <t xml:space="preserve">Camera 3 PMW checklist completed - </t>
    </r>
    <r>
      <rPr>
        <rFont val="Oswald"/>
        <i/>
        <color rgb="FFFF0000"/>
        <sz val="12.0"/>
      </rPr>
      <t xml:space="preserve">add link to on-site checklists here </t>
    </r>
  </si>
  <si>
    <r>
      <rPr>
        <rFont val="Oswald"/>
        <color rgb="FFFFFFFF"/>
        <sz val="12.0"/>
      </rPr>
      <t xml:space="preserve">Camera 4 PMW checklist completed - </t>
    </r>
    <r>
      <rPr>
        <rFont val="Oswald"/>
        <i/>
        <color rgb="FFFF0000"/>
        <sz val="12.0"/>
      </rPr>
      <t>add link to on-site checklists here</t>
    </r>
    <r>
      <rPr>
        <rFont val="Oswald"/>
        <color rgb="FFFFFFFF"/>
        <sz val="12.0"/>
      </rPr>
      <t xml:space="preserve"> </t>
    </r>
  </si>
  <si>
    <r>
      <rPr>
        <rFont val="Oswald"/>
        <color rgb="FFFFFFFF"/>
        <sz val="12.0"/>
      </rPr>
      <t xml:space="preserve">Tracking Camera checklist completed - </t>
    </r>
    <r>
      <rPr>
        <rFont val="Oswald"/>
        <i/>
        <color rgb="FFFF0000"/>
        <sz val="12.0"/>
      </rPr>
      <t>add link to on-site checklists here</t>
    </r>
  </si>
  <si>
    <r>
      <rPr>
        <rFont val="Oswald"/>
        <color rgb="FFFFFFFF"/>
        <sz val="12.0"/>
      </rPr>
      <t>Lens chosen and recorded for each camera on the 'Cameras Rig' tab -</t>
    </r>
    <r>
      <rPr>
        <rFont val="Oswald"/>
        <i/>
        <color rgb="FFFF0000"/>
        <sz val="12.0"/>
      </rPr>
      <t xml:space="preserve"> link the cameras tab</t>
    </r>
  </si>
  <si>
    <r>
      <rPr>
        <rFont val="Oswald"/>
        <color rgb="FFFFFFFF"/>
        <sz val="12.0"/>
      </rPr>
      <t xml:space="preserve">White balance tested (day + floodlights) and recorded on the 'Cameras Rig' tab - </t>
    </r>
    <r>
      <rPr>
        <rFont val="Oswald"/>
        <i/>
        <color rgb="FFFF0000"/>
        <sz val="12.0"/>
      </rPr>
      <t>link to cameras tab</t>
    </r>
  </si>
  <si>
    <t>Camera 1 line up</t>
  </si>
  <si>
    <t>Camera 3 line up</t>
  </si>
  <si>
    <t>Camera 4 line up</t>
  </si>
  <si>
    <t xml:space="preserve">Tracking Camera line up </t>
  </si>
  <si>
    <t>Control Room Hardware Rig</t>
  </si>
  <si>
    <t>Front Desk Rig</t>
  </si>
  <si>
    <r>
      <rPr>
        <rFont val="Oswald"/>
        <color rgb="FFFFFFFF"/>
        <sz val="12.0"/>
      </rPr>
      <t xml:space="preserve">Director station hardware rigged - </t>
    </r>
    <r>
      <rPr>
        <rFont val="Oswald"/>
        <i/>
        <color rgb="FFFF0000"/>
        <sz val="12.0"/>
      </rPr>
      <t>add link to on-site checklists</t>
    </r>
  </si>
  <si>
    <t xml:space="preserve">All Kits/Courts networked and can ping each other </t>
  </si>
  <si>
    <r>
      <rPr>
        <rFont val="Oswald"/>
        <color rgb="FFFFFFFF"/>
        <sz val="12.0"/>
      </rPr>
      <t xml:space="preserve">Patching for each court completed according to the patching diagram - </t>
    </r>
    <r>
      <rPr>
        <rFont val="Oswald"/>
        <i/>
        <color rgb="FFFF0000"/>
        <sz val="12.0"/>
      </rPr>
      <t>add link to patching lists</t>
    </r>
  </si>
  <si>
    <t xml:space="preserve">Control room power tested, labelled and set-up with the correct power split across the distro box </t>
  </si>
  <si>
    <t xml:space="preserve">Each Kit's PC turned on with no beeps </t>
  </si>
  <si>
    <r>
      <rPr>
        <rFont val="Oswald"/>
        <color rgb="FFFFFFFF"/>
        <sz val="12.0"/>
      </rPr>
      <t>Routing completed for each court either manually on the VideoHub or via BlackMagic VideoHub Control</t>
    </r>
    <r>
      <rPr>
        <rFont val="Oswald"/>
        <color rgb="FFFFFFFF"/>
        <sz val="12.0"/>
      </rPr>
      <t xml:space="preserve">
</t>
    </r>
    <r>
      <rPr>
        <rFont val="Oswald"/>
        <color rgb="FFFFFFFF"/>
        <sz val="12.0"/>
        <u/>
      </rPr>
      <t>SP 40x40 VideoHub and Routing Manua</t>
    </r>
    <r>
      <rPr>
        <rFont val="Oswald"/>
        <color rgb="FFFFFFFF"/>
        <sz val="12.0"/>
        <u/>
      </rPr>
      <t>l</t>
    </r>
    <r>
      <rPr>
        <rFont val="Oswald"/>
        <color rgb="FFFFFFFF"/>
        <sz val="12.0"/>
      </rPr>
      <t xml:space="preserve"> </t>
    </r>
  </si>
  <si>
    <t>Back Desk Rig</t>
  </si>
  <si>
    <r>
      <rPr>
        <rFont val="Oswald"/>
        <color rgb="FFFFFFFF"/>
        <sz val="12.0"/>
      </rPr>
      <t xml:space="preserve">Backdesk hardware rigged - </t>
    </r>
    <r>
      <rPr>
        <rFont val="Oswald"/>
        <i/>
        <color theme="5"/>
        <sz val="12.0"/>
      </rPr>
      <t>add link to on-site checklists</t>
    </r>
  </si>
  <si>
    <t xml:space="preserve">Backdesk hardware powered and labelled with correct power split across the distro box </t>
  </si>
  <si>
    <t>Backdesk PCs set to correct IP Address and networking to all other PCs</t>
  </si>
  <si>
    <t>All Backdesk PCs on with no beeps</t>
  </si>
  <si>
    <r>
      <rPr>
        <rFont val="Oswald"/>
        <color rgb="FFFFFFFF"/>
        <sz val="12.0"/>
      </rPr>
      <t xml:space="preserve">12x12, CleanSwitch + Z840 Patching completed according to the patching diagrams - </t>
    </r>
    <r>
      <rPr>
        <rFont val="Oswald"/>
        <i/>
        <color rgb="FFFF0000"/>
        <sz val="12.0"/>
      </rPr>
      <t>add link to patching lists</t>
    </r>
  </si>
  <si>
    <r>
      <rPr>
        <rFont val="Oswald"/>
        <color rgb="FFFFFFFF"/>
        <sz val="12.0"/>
      </rPr>
      <t>Routing - 12x12 and CleanSwitch, either manually on the VideoHub or via BlackMagic VideoHub Control</t>
    </r>
    <r>
      <rPr>
        <rFont val="Oswald"/>
        <color rgb="FFFFFFFF"/>
        <sz val="12.0"/>
      </rPr>
      <t xml:space="preserve">
</t>
    </r>
    <r>
      <rPr>
        <rFont val="Oswald"/>
        <color rgb="FFFFFFFF"/>
        <sz val="12.0"/>
        <u/>
      </rPr>
      <t>SP 40x40 VideoHub and Routing Manua</t>
    </r>
    <r>
      <rPr>
        <rFont val="Oswald"/>
        <color rgb="FFFFFFFF"/>
        <sz val="12.0"/>
        <u/>
      </rPr>
      <t>l</t>
    </r>
    <r>
      <rPr>
        <rFont val="Oswald"/>
        <color rgb="FFFFFFFF"/>
        <sz val="12.0"/>
      </rPr>
      <t xml:space="preserve"> </t>
    </r>
  </si>
  <si>
    <r>
      <rPr>
        <rFont val="Oswald"/>
        <color rgb="FFFFFFFF"/>
        <sz val="12.0"/>
      </rPr>
      <t xml:space="preserve">Streaming station hardware rigged - </t>
    </r>
    <r>
      <rPr>
        <rFont val="Oswald"/>
        <i/>
        <color rgb="FFFF0000"/>
        <sz val="12.0"/>
      </rPr>
      <t>add link to on-site checklists</t>
    </r>
  </si>
  <si>
    <t xml:space="preserve">Streaming Station hardware powered and labelled with correct power split across the distro box </t>
  </si>
  <si>
    <t>All Streaming PCs on with no beeps</t>
  </si>
  <si>
    <t>Streaming PCs networking to all other PCs</t>
  </si>
  <si>
    <r>
      <rPr>
        <rFont val="Oswald"/>
        <color rgb="FFFFFFFF"/>
        <sz val="12.0"/>
      </rPr>
      <t xml:space="preserve">Streaming Station Patching completed according to the patching diagram - </t>
    </r>
    <r>
      <rPr>
        <rFont val="Oswald"/>
        <i/>
        <color rgb="FFFF0000"/>
        <sz val="12.0"/>
      </rPr>
      <t>add link to patching lists</t>
    </r>
  </si>
  <si>
    <r>
      <rPr>
        <rFont val="Oswald"/>
        <color rgb="FFFFFFFF"/>
        <sz val="12.0"/>
      </rPr>
      <t>Streaming station routing completed, either manually on the VideoHub or via BlackMagic VideoHub Control</t>
    </r>
    <r>
      <rPr>
        <rFont val="Oswald"/>
        <color rgb="FFFFFFFF"/>
        <sz val="12.0"/>
      </rPr>
      <t xml:space="preserve">
</t>
    </r>
    <r>
      <rPr>
        <rFont val="Oswald"/>
        <color rgb="FFFFFFFF"/>
        <sz val="12.0"/>
        <u/>
      </rPr>
      <t>SP 40x40 VideoHub and Routing Manua</t>
    </r>
    <r>
      <rPr>
        <rFont val="Oswald"/>
        <color rgb="FFFFFFFF"/>
        <sz val="12.0"/>
        <u/>
      </rPr>
      <t>l</t>
    </r>
    <r>
      <rPr>
        <rFont val="Oswald"/>
        <color rgb="FFFFFFFF"/>
        <sz val="12.0"/>
      </rPr>
      <t xml:space="preserve"> </t>
    </r>
  </si>
  <si>
    <t xml:space="preserve">TV Compound fibre box located and cable route confirmed to the SP Control Room </t>
  </si>
  <si>
    <t xml:space="preserve">Looms to MCR ran (SDI or Fibre?) AND LABELLED </t>
  </si>
  <si>
    <t xml:space="preserve">Looms to Crionet ran (SDI or Fibre?) AND LABELLED </t>
  </si>
  <si>
    <t xml:space="preserve">Looms to TATA ran (SDI or Fibre?) AND LABELLED </t>
  </si>
  <si>
    <t xml:space="preserve">Fibre looms from TV Compound fibre box ran and labelled to each director/streaming station for vision and data </t>
  </si>
  <si>
    <t xml:space="preserve">Looms to ELC from each director station ran and labelled for Cam 1, PGM and ChromaSource (SDI or Fibre?) </t>
  </si>
  <si>
    <t>Receiving Vision back in the control room and seeing an image for Cameras 1, 3 and 4</t>
  </si>
  <si>
    <t xml:space="preserve">Receiving Data back in the control room, and see an image for the Tracking Camera </t>
  </si>
  <si>
    <t xml:space="preserve">Receiving Data back in the control room, and be able to control the robotic heads in Camera Control </t>
  </si>
  <si>
    <t>Software Checklists</t>
  </si>
  <si>
    <t>Front Desk</t>
  </si>
  <si>
    <r>
      <rPr>
        <rFont val="Oswald"/>
        <color rgb="FFFFFFFF"/>
        <sz val="12.0"/>
      </rPr>
      <t xml:space="preserve">Macros set up for each court using BlackMagic Software + label each button
</t>
    </r>
    <r>
      <rPr>
        <rFont val="Oswald"/>
        <i/>
        <color rgb="FFFF0000"/>
        <sz val="12.0"/>
      </rPr>
      <t>Add link to Emergency Macro Panel Manual here</t>
    </r>
  </si>
  <si>
    <t xml:space="preserve">Correct driver versions on Director and Hot Spare PC for each court </t>
  </si>
  <si>
    <t xml:space="preserve">Deploy the smart file on the Tracking PC of each court </t>
  </si>
  <si>
    <r>
      <rPr>
        <rFont val="Oswald"/>
        <color rgb="FFFFFFFF"/>
        <sz val="12.0"/>
      </rPr>
      <t xml:space="preserve">Initial checklists - </t>
    </r>
    <r>
      <rPr>
        <rFont val="Oswald"/>
        <i/>
        <color rgb="FFFF0000"/>
        <sz val="12.0"/>
      </rPr>
      <t>add link to on-site checklists</t>
    </r>
    <r>
      <rPr>
        <rFont val="Oswald"/>
        <color rgb="FFFFFFFF"/>
        <sz val="12.0"/>
      </rPr>
      <t xml:space="preserve"> </t>
    </r>
  </si>
  <si>
    <r>
      <rPr>
        <rFont val="Oswald"/>
        <color rgb="FFFFFFFF"/>
        <sz val="12.0"/>
      </rPr>
      <t xml:space="preserve">TX-1 Full checklist - </t>
    </r>
    <r>
      <rPr>
        <rFont val="Oswald"/>
        <i/>
        <color rgb="FFFF0000"/>
        <sz val="12.0"/>
      </rPr>
      <t xml:space="preserve">add link to on-site chcklists </t>
    </r>
  </si>
  <si>
    <t>Back Desk</t>
  </si>
  <si>
    <r>
      <rPr>
        <rFont val="Oswald"/>
        <color rgb="FFFFFFFF"/>
        <sz val="12.0"/>
      </rPr>
      <t xml:space="preserve">Macros set up for the Streaming station and the CleanSwitch using BlackMagic Software + label each button
</t>
    </r>
    <r>
      <rPr>
        <rFont val="Oswald"/>
        <i/>
        <color rgb="FFFF0000"/>
        <sz val="12.0"/>
      </rPr>
      <t>Add link to Emergency Macro Panel Manual here</t>
    </r>
  </si>
  <si>
    <t>Correct driver versions on all Backdesk PCs and Streaming PCs</t>
  </si>
  <si>
    <t xml:space="preserve">Deploy the Backdesk and Streaming smart files on the Z840 </t>
  </si>
  <si>
    <r>
      <rPr>
        <rFont val="Oswald"/>
        <color rgb="FFFFFFFF"/>
        <sz val="12.0"/>
      </rPr>
      <t xml:space="preserve">Backdesk initial checklists </t>
    </r>
    <r>
      <rPr>
        <rFont val="Oswald"/>
        <i/>
        <color rgb="FFFF0000"/>
        <sz val="12.0"/>
      </rPr>
      <t xml:space="preserve">- add link to on-site checklists </t>
    </r>
  </si>
  <si>
    <r>
      <rPr>
        <rFont val="Oswald"/>
        <color rgb="FFFFFFFF"/>
        <sz val="12.0"/>
      </rPr>
      <t xml:space="preserve">Streaming checklist - </t>
    </r>
    <r>
      <rPr>
        <rFont val="Oswald"/>
        <i/>
        <color rgb="FFFF0000"/>
        <sz val="12.0"/>
      </rPr>
      <t xml:space="preserve">add link to on-site checklists </t>
    </r>
  </si>
  <si>
    <r>
      <rPr>
        <rFont val="Oswald"/>
        <color rgb="FFFFFFFF"/>
        <sz val="12.0"/>
      </rPr>
      <t xml:space="preserve">TGM + TSP + GFX checklists - </t>
    </r>
    <r>
      <rPr>
        <rFont val="Oswald"/>
        <i/>
        <color rgb="FFFF0000"/>
        <sz val="12.0"/>
      </rPr>
      <t xml:space="preserve">add link to on-site checklists </t>
    </r>
  </si>
  <si>
    <r>
      <rPr>
        <rFont val="Oswald"/>
        <color rgb="FFFFFFFF"/>
        <sz val="12.0"/>
      </rPr>
      <t xml:space="preserve">CCU Checklist </t>
    </r>
    <r>
      <rPr>
        <rFont val="Oswald"/>
        <i/>
        <color rgb="FFFF0000"/>
        <sz val="12.0"/>
      </rPr>
      <t>- add link to on-site checklists</t>
    </r>
    <r>
      <rPr>
        <rFont val="Oswald"/>
        <color rgb="FFFFFFFF"/>
        <sz val="12.0"/>
      </rPr>
      <t xml:space="preserve"> </t>
    </r>
  </si>
  <si>
    <r>
      <rPr>
        <rFont val="Oswald"/>
        <color rgb="FFFFFFFF"/>
        <sz val="12.0"/>
      </rPr>
      <t>Archiver/Recording checklist -</t>
    </r>
    <r>
      <rPr>
        <rFont val="Oswald"/>
        <i/>
        <color rgb="FFFF0000"/>
        <sz val="12.0"/>
      </rPr>
      <t xml:space="preserve"> add link to on-site checklists </t>
    </r>
  </si>
  <si>
    <t>Data/GFX/TGM/TSP</t>
  </si>
  <si>
    <t xml:space="preserve">SMART Director Feed cable rigged </t>
  </si>
  <si>
    <t xml:space="preserve">IP Addresses and port numbers agreed on with the Data Company </t>
  </si>
  <si>
    <t xml:space="preserve">Spare IP Addresses and port numbers agreed on with the Data Company </t>
  </si>
  <si>
    <t>Able to ping the Data Company</t>
  </si>
  <si>
    <r>
      <rPr>
        <rFont val="Oswald"/>
        <color rgb="FFFFFFFF"/>
        <sz val="12.0"/>
      </rPr>
      <t xml:space="preserve">Fortigate set up - </t>
    </r>
    <r>
      <rPr>
        <rFont val="Oswald"/>
        <color rgb="FFFFFFFF"/>
        <sz val="12.0"/>
        <u/>
      </rPr>
      <t>SP Fortigate &amp; Scoring Integration Manual</t>
    </r>
    <r>
      <rPr>
        <rFont val="Oswald"/>
        <color rgb="FFFFFFFF"/>
        <sz val="12.0"/>
      </rPr>
      <t xml:space="preserve"> </t>
    </r>
  </si>
  <si>
    <r>
      <rPr>
        <rFont val="Oswald"/>
        <color rgb="FFFFFFFF"/>
        <sz val="12.0"/>
      </rPr>
      <t xml:space="preserve">Backdesk TGM/TSP/GFX GFX checklists - </t>
    </r>
    <r>
      <rPr>
        <rFont val="Oswald"/>
        <i/>
        <color rgb="FFFF0000"/>
        <sz val="12.0"/>
      </rPr>
      <t>add link to on-site checklists</t>
    </r>
  </si>
  <si>
    <t>FACS with Data Company - ask them to send packets and have a green tick for 'Smart Director Feed' in TDS</t>
  </si>
  <si>
    <t>FACS with Data Company - test with the umpire's tablet and see the scores coming through into the Scorebug</t>
  </si>
  <si>
    <r>
      <rPr>
        <rFont val="Oswald"/>
        <color rgb="FFFFFFFF"/>
        <sz val="12.0"/>
      </rPr>
      <t>Hardware rigged in ELC Bunker following the diagram on the diagrams/maps tab -</t>
    </r>
    <r>
      <rPr>
        <rFont val="Oswald"/>
        <i/>
        <color rgb="FFFF0000"/>
        <sz val="12.0"/>
      </rPr>
      <t xml:space="preserve"> add link to diagram</t>
    </r>
  </si>
  <si>
    <t>ELC receiving Camera 1 with audio</t>
  </si>
  <si>
    <t>ELC receiving PGM feed</t>
  </si>
  <si>
    <t>SP receiving ChromaSource/VR Output feed from ELC</t>
  </si>
  <si>
    <r>
      <rPr>
        <rFont val="Oswald"/>
        <color rgb="FFFFFFFF"/>
        <sz val="12.0"/>
      </rPr>
      <t xml:space="preserve">Comms Talkback/SMART Chat set-up - </t>
    </r>
    <r>
      <rPr>
        <rFont val="Oswald"/>
        <color rgb="FFFFFFFF"/>
        <sz val="12.0"/>
        <u/>
      </rPr>
      <t>SP/ELC Crossover Manual</t>
    </r>
  </si>
  <si>
    <t xml:space="preserve">SP and ELC networked together with default gateway (if using SMART Chat) </t>
  </si>
  <si>
    <t>Audio levels checked and adjusted on the audio mixer if required - including testing the umpire microphone</t>
  </si>
  <si>
    <t xml:space="preserve">Test Dirty and Clean Hawkeye Outputs </t>
  </si>
  <si>
    <t>PIPs</t>
  </si>
  <si>
    <t xml:space="preserve">Deltatre servers and tablets plugged up and functioning </t>
  </si>
  <si>
    <t>Green status bars on all smart viewers</t>
  </si>
  <si>
    <t xml:space="preserve">FACs Checks </t>
  </si>
  <si>
    <t>TATA</t>
  </si>
  <si>
    <t xml:space="preserve">MCR + talkback </t>
  </si>
  <si>
    <t>Data Company</t>
  </si>
  <si>
    <t xml:space="preserve">Macros for each court, CleanSwitch and Streaming station </t>
  </si>
  <si>
    <r>
      <rPr>
        <rFont val="Oswald"/>
        <color rgb="FFFFFFFF"/>
        <sz val="12.0"/>
      </rPr>
      <t>Disaster recovery run through with the team</t>
    </r>
    <r>
      <rPr>
        <rFont val="Oswald"/>
        <color rgb="FFFFFFFF"/>
        <sz val="12.0"/>
      </rPr>
      <t xml:space="preserve">
</t>
    </r>
    <r>
      <rPr>
        <rFont val="Oswald"/>
        <color rgb="FFFFFFFF"/>
        <sz val="12.0"/>
        <u/>
      </rPr>
      <t>Disaster Recovery Run-through Manu</t>
    </r>
    <r>
      <rPr>
        <rFont val="Oswald"/>
        <color rgb="FFFFFFFF"/>
        <sz val="12.0"/>
        <u/>
      </rPr>
      <t>al</t>
    </r>
    <r>
      <rPr>
        <rFont val="Oswald"/>
        <color rgb="FFFFFFFF"/>
        <sz val="12.0"/>
      </rPr>
      <t xml:space="preserve"> + </t>
    </r>
    <r>
      <rPr>
        <rFont val="Oswald"/>
        <i/>
        <color rgb="FFEA4335"/>
        <sz val="12.0"/>
      </rPr>
      <t>Add link to Emergency Macro Panel Manual here</t>
    </r>
  </si>
  <si>
    <t xml:space="preserve">ELC Crossover Checklist </t>
  </si>
  <si>
    <r>
      <rPr>
        <rFont val="Oswald"/>
        <b/>
        <color rgb="FFFFFFFF"/>
        <sz val="14.0"/>
      </rPr>
      <t xml:space="preserve">Responsible: </t>
    </r>
    <r>
      <rPr>
        <rFont val="Oswald"/>
        <b/>
        <i/>
        <color theme="5"/>
        <sz val="14.0"/>
      </rPr>
      <t>Name</t>
    </r>
  </si>
  <si>
    <t>Insert Link to Diagrams Here</t>
  </si>
  <si>
    <t>SP x ELC Integration Manual</t>
  </si>
  <si>
    <t>General: Pre-Event</t>
  </si>
  <si>
    <t>Completed?</t>
  </si>
  <si>
    <t xml:space="preserve">Hawkeye Live, ELC or Hawkeye Lite? </t>
  </si>
  <si>
    <t xml:space="preserve">e.g. Hawkeye Live </t>
  </si>
  <si>
    <t>Confirmed what feeds ELC are receiving from SP</t>
  </si>
  <si>
    <t>e.g. Camera 1 with embedded audio and PGM feed</t>
  </si>
  <si>
    <t>Confirmed what feeds SP are receiving from ELC</t>
  </si>
  <si>
    <t>e.g. ChromaSource/Auto VR Output</t>
  </si>
  <si>
    <t xml:space="preserve">Are SP providing headsets with microphones for the ELC operator and the RO? </t>
  </si>
  <si>
    <t>e.g. Just for the ELC Op - the tournament are providing for the ROs</t>
  </si>
  <si>
    <t xml:space="preserve">Is the cable route from the SP Cabin to the ELC Bunker(s) confirmed? SDIs or Fibre? </t>
  </si>
  <si>
    <t>e.g. Yes - 50m fibre from SP Cabin to fibre box, and then patch cables from ELC fibre box to converters</t>
  </si>
  <si>
    <t xml:space="preserve">Is the diagram on the Site/Maps tab completed with a list of the required equipment? </t>
  </si>
  <si>
    <t>e.g. Yes - diagram of the ELC Bunker with 3 courts and the list of equipment needed for all 3</t>
  </si>
  <si>
    <t>Have we plugged all our equipment into a reliable power source in ELC's opertational space e.g. UPS?</t>
  </si>
  <si>
    <t>e.g. Yes - plugged into the ELC UPS in the bunker, and this has been added to their power split diagram</t>
  </si>
  <si>
    <t xml:space="preserve">Do you have a plan set in place for Comms with ELC? e.g. requested for them to be on the Talkback Panel, using a Jabra Speaker? </t>
  </si>
  <si>
    <t xml:space="preserve">e.g. Yes - they will be added to our backdesk talkback panel (provided by Gravity) </t>
  </si>
  <si>
    <t xml:space="preserve">Are you using SMART Chat? </t>
  </si>
  <si>
    <t>e.g. Yes - between the SP Op and the ELC Op and between the ELC Op and the RO</t>
  </si>
  <si>
    <t xml:space="preserve">Do you need to share a network? If so, have you agreed on a default gateway? </t>
  </si>
  <si>
    <t xml:space="preserve">e.g. Yes for SMART Chat - the default gateway is 192.168.1.99 and is on the IP Addresses tab </t>
  </si>
  <si>
    <t>Hardware Rig</t>
  </si>
  <si>
    <t xml:space="preserve">Court # </t>
  </si>
  <si>
    <t xml:space="preserve">Is the cable for the Camera 1 feed from SP Cabin to ELC Bunker rigged? SDI or fibre? </t>
  </si>
  <si>
    <t xml:space="preserve">If fibre, is the SDI-Fibre Transmitter and the Fibre-SDI Receiver plugged up and seeing green lights? </t>
  </si>
  <si>
    <t xml:space="preserve">SDI from the Fibre-SDI Receiver Converter plugged up and running to the SDI-HDMI Converter? </t>
  </si>
  <si>
    <t xml:space="preserve">SDI-HDMI Converter powered? </t>
  </si>
  <si>
    <t>HDMI Splitter plugged into the SDI-HDMI Converter</t>
  </si>
  <si>
    <t>2 HDMIs rigged from the HDMI Splitter - one going into the ELC operator's Camera 1 monitor and the other going into the RO's Camera 1 monitor</t>
  </si>
  <si>
    <t xml:space="preserve">If providing the monitors, rig and power the Camera 1 monitor in the agreed position so that both ELC Operator and the RO can see the screen clearly </t>
  </si>
  <si>
    <t xml:space="preserve">Is the cable for the PGM feed from the SP Cabin to ELC Bunker rigged? SDI or fibre? </t>
  </si>
  <si>
    <t xml:space="preserve">HDMI rigged from the SDI-HDMI Converter to the RO's PGM feed monitor </t>
  </si>
  <si>
    <t xml:space="preserve">If providing the monitors, rig and power the PGM feed monitor in the agreed position so that the RO can see the screen clearly </t>
  </si>
  <si>
    <t xml:space="preserve">Is the cable for ChromaSource from the SP Cabin to ELC Bunker rigged? SDI or fibre? </t>
  </si>
  <si>
    <t>SDI from ELC's DA output port plugged up and running to the SDI-Fibre Transmitter Converter</t>
  </si>
  <si>
    <t xml:space="preserve">SDI from the Fibre-SDI Receiver Converter ingested into an input port on the court's 40x40 MCU patch panel </t>
  </si>
  <si>
    <t xml:space="preserve">ChromaSource VVC launched on Director and Tracking PC and visible in both Main and Spare SMART Viewers? </t>
  </si>
  <si>
    <t>ChromaSource appearing in the correct tile in SMART Viewer using CTRL + L</t>
  </si>
  <si>
    <t>ChromaSource Key Commands wokring on both Director and Spare Keyboard and SMART Viewers?</t>
  </si>
  <si>
    <t>Audio Rig</t>
  </si>
  <si>
    <t>2 x 1/4 jack - 3.5mm jack cables rigged from the two jack ports on the Camera 1 SDI-HDMI Converter - one to the Auto VR PC, the other to the FF PC</t>
  </si>
  <si>
    <t>2 x Headphones with USB adaptor and attachable microphone plugged up - both ELC Operator (Auto VR PC) and RO (Foot Fault PC)?</t>
  </si>
  <si>
    <t xml:space="preserve">If required for specific PC, plug the 1/4-3.5mm jack cable into the  USB - line in adaptors into OC (if the PC doesn't have a normal line in port) </t>
  </si>
  <si>
    <t>Sound input and output devices correctly selected on each PC: Input = Line-in ; Output = Hyper X Headphones</t>
  </si>
  <si>
    <t>SMART Chat</t>
  </si>
  <si>
    <t xml:space="preserve">Fibre/CAT 6 rigged between SP Switch and ELC Switch </t>
  </si>
  <si>
    <t xml:space="preserve">Network connection established via a default gateway and ELC configuring their switch to allow the two networks to connect </t>
  </si>
  <si>
    <t xml:space="preserve">Can ping between the SP PCs for a specific court and the ELC PCs for the same court </t>
  </si>
  <si>
    <t>SMART Chat software deployed and launched on all relevant PCs</t>
  </si>
  <si>
    <t>Able to communicate between each SMART Chat that is being used</t>
  </si>
  <si>
    <t xml:space="preserve">Settings saved in SMART Chat e.g. SP Op listening to ELC Op; Toggle Talk off; RO listening to ELC Op </t>
  </si>
  <si>
    <t xml:space="preserve">FACS Checks </t>
  </si>
  <si>
    <t xml:space="preserve">Camera 1 feed stable, lined up and in focus - can you see the courtside big screen? </t>
  </si>
  <si>
    <t>PGM Feed stable and in focus</t>
  </si>
  <si>
    <t xml:space="preserve">Camera 1 embedded audio clear and in sync with the live video </t>
  </si>
  <si>
    <t xml:space="preserve">Are SP receiving ELC's Auto VR Output - test a bounce to ensure the 'Close Call' graphic appears, and the ball trajectory plays through </t>
  </si>
  <si>
    <t xml:space="preserve">Can you communicate with each ELC bunker/booth/trailer on your talkback panel? </t>
  </si>
  <si>
    <t xml:space="preserve">Cameras Checklist - To be monitored and updated by the Kit Manager </t>
  </si>
  <si>
    <t>Hard Rock Stadium</t>
  </si>
  <si>
    <t>FR7 Camera 1</t>
  </si>
  <si>
    <t>FS7 Camera 1 (Streaming)</t>
  </si>
  <si>
    <t xml:space="preserve">Tracking Camera </t>
  </si>
  <si>
    <t xml:space="preserve">Mounting </t>
  </si>
  <si>
    <t>e.g Superclamp</t>
  </si>
  <si>
    <t>e.g. Flatback</t>
  </si>
  <si>
    <t>Lens</t>
  </si>
  <si>
    <t>e.g. 10-18mm</t>
  </si>
  <si>
    <t>e.g. 10-40mm</t>
  </si>
  <si>
    <t>White Balance</t>
  </si>
  <si>
    <t>e.g. 5400k</t>
  </si>
  <si>
    <t>Country Setting</t>
  </si>
  <si>
    <t>e.6 PAL or NTSC</t>
  </si>
  <si>
    <t>SP Extras 2024</t>
  </si>
  <si>
    <t xml:space="preserve">Add the list of fibre you have packed in Extras here and fill in the columns to keep tabs </t>
  </si>
  <si>
    <t xml:space="preserve">Fibre </t>
  </si>
  <si>
    <t>Link to Full SP Fibre Plan</t>
  </si>
  <si>
    <t xml:space="preserve">Length </t>
  </si>
  <si>
    <t>No. of Cores</t>
  </si>
  <si>
    <t>Type</t>
  </si>
  <si>
    <t>Serial Number</t>
  </si>
  <si>
    <t>Location Used</t>
  </si>
  <si>
    <t xml:space="preserve">e.g. 200m </t>
  </si>
  <si>
    <t>SPFIB200A.4C</t>
  </si>
  <si>
    <t>Court 5: Norwia - Courtside Fibre Box</t>
  </si>
  <si>
    <t>Link to Tournament Fibre Port Plan</t>
  </si>
  <si>
    <r>
      <rPr>
        <rFont val="Oswald, Arial"/>
        <b/>
        <color rgb="FFFFFFFF"/>
        <sz val="14.0"/>
      </rPr>
      <t xml:space="preserve">Audio Mixer Checklist - </t>
    </r>
    <r>
      <rPr>
        <rFont val="Oswald, Arial"/>
        <b/>
        <i/>
        <color rgb="FFFFFFFF"/>
        <sz val="14.0"/>
      </rPr>
      <t>To be assigned to someone</t>
    </r>
  </si>
  <si>
    <t>Yamaha Audio Mixer Setup</t>
  </si>
  <si>
    <t>Near Left and Near Right Mics into Inputs 1 and 2 on the audio mixer respectively</t>
  </si>
  <si>
    <t>Output Left and Output Right in the Camera 1 FS7 Input 1 and Input 2 respectively</t>
  </si>
  <si>
    <t>Power the mixer on using the 12V DC to UK adaptor connected to Camera 1 BOB</t>
  </si>
  <si>
    <r>
      <rPr>
        <rFont val="Oswald"/>
        <color theme="1"/>
        <sz val="12.0"/>
      </rPr>
      <t xml:space="preserve">Ensure all Volume and Gain dials are </t>
    </r>
    <r>
      <rPr>
        <rFont val="Oswald"/>
        <b/>
        <color theme="1"/>
        <sz val="12.0"/>
      </rPr>
      <t xml:space="preserve">all the way down </t>
    </r>
  </si>
  <si>
    <r>
      <rPr>
        <rFont val="Oswald"/>
        <color theme="1"/>
        <sz val="12.0"/>
      </rPr>
      <t xml:space="preserve">Ensure the Phantom +48V button is </t>
    </r>
    <r>
      <rPr>
        <rFont val="Oswald"/>
        <b/>
        <color theme="1"/>
        <sz val="12.0"/>
      </rPr>
      <t>pressed</t>
    </r>
  </si>
  <si>
    <r>
      <rPr>
        <rFont val="Oswald"/>
        <color theme="1"/>
        <sz val="12.0"/>
      </rPr>
      <t xml:space="preserve">Make sure the Stereo button is </t>
    </r>
    <r>
      <rPr>
        <rFont val="Oswald"/>
        <b/>
        <color theme="1"/>
        <sz val="12.0"/>
      </rPr>
      <t>pressed</t>
    </r>
  </si>
  <si>
    <r>
      <rPr>
        <rFont val="Oswald"/>
        <color theme="1"/>
        <sz val="12.0"/>
      </rPr>
      <t xml:space="preserve">Make sure both PAD buttons are </t>
    </r>
    <r>
      <rPr>
        <rFont val="Oswald"/>
        <b/>
        <color theme="1"/>
        <sz val="12.0"/>
      </rPr>
      <t>not pressed</t>
    </r>
  </si>
  <si>
    <r>
      <rPr>
        <rFont val="Oswald"/>
        <color theme="1"/>
        <sz val="12.0"/>
      </rPr>
      <t>Make sure both HPF buttons are</t>
    </r>
    <r>
      <rPr>
        <rFont val="Oswald"/>
        <b/>
        <color theme="1"/>
        <sz val="12.0"/>
      </rPr>
      <t xml:space="preserve"> pressed</t>
    </r>
  </si>
  <si>
    <t xml:space="preserve">Set all green gain dials to recommmended zone </t>
  </si>
  <si>
    <t>Set all white frequency dials to below 10% (should never have to go above this)</t>
  </si>
  <si>
    <t>Set levels 1, 2, 3 and Stereo Output to around 40% as a starting point</t>
  </si>
  <si>
    <t>Person at the mixer with headphones to communicate with TG in the Control Room and adjust volume levels and frequency dial to optimum level</t>
  </si>
  <si>
    <t>Have a third person turn the umpire microphone on and speak continuously into it so you can adjust volume levels and frequency for umpire mic too</t>
  </si>
  <si>
    <t xml:space="preserve">LIVE QUIRKS TRACKER LINK --&gt; </t>
  </si>
  <si>
    <r>
      <rPr>
        <rFont val="Oswald"/>
        <b/>
        <color rgb="FFFFFFFF"/>
        <sz val="14.0"/>
        <u/>
      </rPr>
      <t xml:space="preserve">Hardware Support Tracker </t>
    </r>
    <r>
      <rPr>
        <rFont val="Oswald"/>
        <b/>
        <color rgb="FFFFFFFF"/>
        <sz val="14.0"/>
      </rPr>
      <t xml:space="preserve"> </t>
    </r>
  </si>
  <si>
    <t>Please create a new thread in the Quirks chat for this event and describe the item, issue and solution</t>
  </si>
  <si>
    <t>Kit</t>
  </si>
  <si>
    <t>Item</t>
  </si>
  <si>
    <t>Reported By</t>
  </si>
  <si>
    <t>Issue</t>
  </si>
  <si>
    <t>Solution</t>
  </si>
  <si>
    <t>Replacement found/requested?</t>
  </si>
  <si>
    <t>In Quirks Chat</t>
  </si>
  <si>
    <t xml:space="preserve">Transferred to Quirks Tracker/Portal? </t>
  </si>
  <si>
    <t>SP EXTRAS 2</t>
  </si>
  <si>
    <t>50m FIBRE reel - SPFIB50E*4C</t>
  </si>
  <si>
    <t>Only working core is core number 4 - the rest are broken on either end</t>
  </si>
  <si>
    <t>Kit J</t>
  </si>
  <si>
    <t>Desk Case</t>
  </si>
  <si>
    <t>Desk case norwia wings need to be secured, they have torn and are hanging down a lot</t>
  </si>
  <si>
    <t>Kit G</t>
  </si>
  <si>
    <t>ID Head 003</t>
  </si>
  <si>
    <t>Robotic head would not connect data connection back to control room</t>
  </si>
  <si>
    <t>Used a spare ID head instead</t>
  </si>
  <si>
    <t>Kit H</t>
  </si>
  <si>
    <t>Camera 4 not in flight case when kit arrived in Miami</t>
  </si>
  <si>
    <t>Used a spare PXW</t>
  </si>
  <si>
    <t>Camera 1</t>
  </si>
  <si>
    <t>Missing 3D printed sun hood</t>
  </si>
  <si>
    <t>SPX.FS7.014</t>
  </si>
  <si>
    <t>FS7 was zooming in by itself, unsure why this was happening</t>
  </si>
  <si>
    <t>Lens being used was MID005</t>
  </si>
  <si>
    <t>Please create a new thread in the Quirks chat for this event and describe what has been borrowed</t>
  </si>
  <si>
    <t xml:space="preserve">Equipment </t>
  </si>
  <si>
    <t>Kit #</t>
  </si>
  <si>
    <t xml:space="preserve">Quantity </t>
  </si>
  <si>
    <t>Who?</t>
  </si>
  <si>
    <t xml:space="preserve">Returned? </t>
  </si>
  <si>
    <t>Between SP Kits</t>
  </si>
  <si>
    <t>SP to ELC</t>
  </si>
  <si>
    <t>ELC to SP</t>
  </si>
  <si>
    <t>SP to External</t>
  </si>
  <si>
    <t>External to SP</t>
  </si>
  <si>
    <t>COURT 7</t>
  </si>
  <si>
    <t>COURT 5</t>
  </si>
  <si>
    <t>COURT 2</t>
  </si>
  <si>
    <t>COURT 3</t>
  </si>
  <si>
    <t>COURT 6</t>
  </si>
  <si>
    <t>Courtside Case</t>
  </si>
  <si>
    <t>KIT F</t>
  </si>
  <si>
    <t xml:space="preserve">CAMERA 1
Sony ILME-FR7 PTZ Camera
Containing:
Sony FE PZ 16-35mm E-Mount Lens
Power Adaptor;
2 x Head-Camera Power cable </t>
  </si>
  <si>
    <t xml:space="preserve">CAMERA 2
Sony PXW-Z280 4K Camera
Containing:
Power Adaptor;
Stock Sun Visor
Custom Sun Visor
2 x Head-Camera Power cable </t>
  </si>
  <si>
    <t xml:space="preserve">CAMERA 3
Sony PXW-Z280 4K Camera
Containing:
Power Adaptor;
Stock Sun Visor
Custom Sun Visor
2 x Head-Camera Power cable </t>
  </si>
  <si>
    <t xml:space="preserve">CAMERA 4
Sony PXW-Z280 4K Camera
Containing:
Power Adaptor;
Stock Sun Visor
Custom Sun Visor
2 x Head-Camera Power cable </t>
  </si>
  <si>
    <t>Robotic Head - Mark Roberts AFC-100</t>
  </si>
  <si>
    <t>Rode Shotgun Microphone in Blimp with Windjammer</t>
  </si>
  <si>
    <t>Small black tripod mic stand</t>
  </si>
  <si>
    <t>BOB (Medium Pelicase + Camera Power Adpator)</t>
  </si>
  <si>
    <t>BOB (Small Pelicase + Camera Power Adpator)</t>
  </si>
  <si>
    <t>Black Camera Covera for PXW (LOOSE!)</t>
  </si>
  <si>
    <t>Mixed Box Case</t>
  </si>
  <si>
    <t>Manfrotto 161MK2B Super Pro Tripod Black</t>
  </si>
  <si>
    <t>[Gigabob] Courtside 4U Weatherproof Hard Case</t>
  </si>
  <si>
    <t>[Gigabob] Norwia Multiplexer [Tx/Rx] (6xSDI + 1GB Data)</t>
  </si>
  <si>
    <t>[Gigabob] Smart 8-Port Gigabit Ethernet Smart - Netgear GS308T</t>
  </si>
  <si>
    <t>Black Gigabob cover</t>
  </si>
  <si>
    <t>20m - Cat 6 - RJ45</t>
  </si>
  <si>
    <t>30m - Cat 6 - RJ45</t>
  </si>
  <si>
    <t>50m - Cat 6 - RJ45</t>
  </si>
  <si>
    <t>90m - Cat 6 - RJ45</t>
  </si>
  <si>
    <t>20m - HD-SDI (BNC) 3G Image 1000 Cable</t>
  </si>
  <si>
    <t>30m - HD-SDI (BNC) 3G Image 1000 Cable</t>
  </si>
  <si>
    <t>50m - HD-SDI (BNC) 3G Image 1000 Cable</t>
  </si>
  <si>
    <t>90m - HD-SDI (BNC) 3G Image 1000 Cable</t>
  </si>
  <si>
    <t>50m - 3 Core Loom (2 x SDI plus 1 x Cat 5)</t>
  </si>
  <si>
    <t>20m - CAMERA 1 LOOM  (SDI, CAT6, 3 x XLR)</t>
  </si>
  <si>
    <t>20m - CAMERA 5 LOOM  (SDI, CAT6, 3 x XLR)</t>
  </si>
  <si>
    <t>Green waterproof camera covers</t>
  </si>
  <si>
    <t>Black FR7 camera cover</t>
  </si>
  <si>
    <t>50m - XLR Audio Cable</t>
  </si>
  <si>
    <t>20/30m - XLR Audio Cable</t>
  </si>
  <si>
    <t>20m - CONTROL ROOM LOOM (6 Core) (2 x Cat 6 + 4 x HD-SDI)</t>
  </si>
  <si>
    <r>
      <rPr>
        <rFont val="Arial"/>
        <color theme="1"/>
      </rPr>
      <t xml:space="preserve">Custom FR7 Mount - </t>
    </r>
    <r>
      <rPr>
        <rFont val="Arial"/>
        <i/>
        <color theme="1"/>
      </rPr>
      <t>[Dual Clamps/V-Lock Plate/Any-Volt]</t>
    </r>
  </si>
  <si>
    <t>YELLOW Bag of XLR (~8 short cables)</t>
  </si>
  <si>
    <t>BLUE Bag of SDI Cables [IMAGE 350] (6 x 20m/10m)</t>
  </si>
  <si>
    <t>RED Bag of Power Cables(5 x each: UK-IEC; US-IEC; EU-IEC; IEC-IEC)</t>
  </si>
  <si>
    <t>[YELLOW Tool Bag - Mounting Kit] Ball &amp; Socket Mount</t>
  </si>
  <si>
    <t>[YELLOW Tool Bag - Mounting Kit] Super Clamps (with Cheese!)</t>
  </si>
  <si>
    <r>
      <rPr>
        <rFont val="Arial"/>
        <color theme="1"/>
      </rPr>
      <t xml:space="preserve">[YELLOW </t>
    </r>
    <r>
      <rPr>
        <rFont val="Arial"/>
        <color theme="1"/>
      </rPr>
      <t>Tool Bag - M</t>
    </r>
    <r>
      <rPr>
        <rFont val="Arial"/>
        <color theme="1"/>
      </rPr>
      <t>ounting Kit] C-Clamp</t>
    </r>
  </si>
  <si>
    <t>[YELLOW Tool Bag - Mounting Kit] Silver Disc (UNC 3/8th Bolts in baggie below)</t>
  </si>
  <si>
    <r>
      <rPr>
        <rFont val="Arial"/>
        <color theme="1"/>
      </rPr>
      <t xml:space="preserve">[YELLOW </t>
    </r>
    <r>
      <rPr>
        <rFont val="Arial"/>
        <color theme="1"/>
      </rPr>
      <t>Tool Bag - M</t>
    </r>
    <r>
      <rPr>
        <rFont val="Arial"/>
        <color theme="1"/>
      </rPr>
      <t>ounting Kit] Ratchet Straps</t>
    </r>
  </si>
  <si>
    <t>[YELLOW Tool Bag - Mounting Kit] Saftey Tether with carabena</t>
  </si>
  <si>
    <t>[YELLOW Tool Bag - Mounting Kit] Leofoto LB-65 Leveling base</t>
  </si>
  <si>
    <t>[YELLOW Tool Bag - Mounting Kit] Bag of assorted nuts/bolts</t>
  </si>
  <si>
    <t>[YELLOW Tool Bag - Mounting Kit] Ratchet Spanner</t>
  </si>
  <si>
    <t>[YELLOW Tool Bag - Mounting Kit] Small Flat Head Screwdriver</t>
  </si>
  <si>
    <t>[YELLOW Tool Bag - Mounting Kit] Adjustable spanner (with wrist lanyard)</t>
  </si>
  <si>
    <t>Desk Cases</t>
  </si>
  <si>
    <t>[INSIDE DESK LARGE DRAW] Logitech Joystick</t>
  </si>
  <si>
    <t>[INSIDE DESK LARGE DRAW] HyperX Headphones</t>
  </si>
  <si>
    <t>[INSIDE DESK LARGE DRAW] USB Foot Pedal</t>
  </si>
  <si>
    <t>[INSIDE DESK LARGE DRAW] UK PowerCon Cable (2m)</t>
  </si>
  <si>
    <t>[INSIDE DESK LARGE DRAW] 16a PowerCon Cable (5m)</t>
  </si>
  <si>
    <t>[INSIDE DESK LARGE DRAW] ST-ST Fibre Duplex (20m)</t>
  </si>
  <si>
    <t>[OPERATING DESKTOP DRAW] HP Keyboard</t>
  </si>
  <si>
    <t>[OPERATING DESKTOP DRAW] HP Mouse</t>
  </si>
  <si>
    <t>SP x ATP Media Daily Report Template.docx</t>
  </si>
  <si>
    <t xml:space="preserve">Email subject: EOD: Tournament Name Year - Rig Day # </t>
  </si>
  <si>
    <t xml:space="preserve">Email subject: EOD: Tournament Name Year - Ops Day # </t>
  </si>
  <si>
    <t>Operations Day</t>
  </si>
  <si>
    <t>Rig Day</t>
  </si>
  <si>
    <t>Remaining Rig Days</t>
  </si>
  <si>
    <t>Ops Day</t>
  </si>
  <si>
    <t>Main Draw</t>
  </si>
  <si>
    <t>#</t>
  </si>
  <si>
    <t>Tasks Completed / Successes</t>
  </si>
  <si>
    <t>Audio levels on all courts for streaming</t>
  </si>
  <si>
    <t>List what has been achieved on that particular day</t>
  </si>
  <si>
    <t>Good progress on Main Draw FACS</t>
  </si>
  <si>
    <t>Reran fibre on Court 4</t>
  </si>
  <si>
    <t>Replay wipes added to all front desks</t>
  </si>
  <si>
    <t>SRAD testing</t>
  </si>
  <si>
    <t>Issues</t>
  </si>
  <si>
    <t>Audio and video feed caused issues on Court 4</t>
  </si>
  <si>
    <t>Add any notable issues encountered on the day here</t>
  </si>
  <si>
    <t>Actions</t>
  </si>
  <si>
    <t>Smooth day of qualies for Crionet</t>
  </si>
  <si>
    <t>Everyone</t>
  </si>
  <si>
    <t>SRAD happy before ATP qualies tomorrow</t>
  </si>
  <si>
    <t>Roll side-on cameras</t>
  </si>
  <si>
    <t>JW, LNL</t>
  </si>
  <si>
    <t>Qualies Day</t>
  </si>
  <si>
    <t>Ops overview</t>
  </si>
  <si>
    <t>Rig</t>
  </si>
  <si>
    <t>Smooth day of streaming</t>
  </si>
  <si>
    <t>Finn and developers have got tracking working well on front desks</t>
  </si>
  <si>
    <t>All camera 2s rolled</t>
  </si>
  <si>
    <t>Umpire mic levels sorted for ELC</t>
  </si>
  <si>
    <t>Goals for tomorrow</t>
  </si>
  <si>
    <t>Clean first day of directing</t>
  </si>
  <si>
    <t>All director stations ready for Main Draw</t>
  </si>
  <si>
    <t>ID head 7.203 replaced with a spare as the head would not pan</t>
  </si>
  <si>
    <t>Gravity had unplugged our umpire mic on BB</t>
  </si>
  <si>
    <t>List tasks for the following day</t>
  </si>
  <si>
    <t>Who is responsible for completing this task</t>
  </si>
  <si>
    <t>Rig Progression (Link to onsite checklist)</t>
  </si>
  <si>
    <t>Backdesk</t>
  </si>
  <si>
    <t>Courtside Checks</t>
  </si>
  <si>
    <t>Key</t>
  </si>
  <si>
    <t>Meet time</t>
  </si>
  <si>
    <t>Checklist</t>
  </si>
  <si>
    <t xml:space="preserve">Finn </t>
  </si>
  <si>
    <t>8:10am</t>
  </si>
  <si>
    <t>Hector</t>
  </si>
  <si>
    <t>Day off</t>
  </si>
  <si>
    <t>Match 1</t>
  </si>
  <si>
    <t>Liam</t>
  </si>
  <si>
    <t>Kinga</t>
  </si>
  <si>
    <t>Match 2</t>
  </si>
  <si>
    <t>GA (OJ)</t>
  </si>
  <si>
    <t>Natasha</t>
  </si>
  <si>
    <t>Georgia</t>
  </si>
  <si>
    <t xml:space="preserve"> Match 3 </t>
  </si>
  <si>
    <t>JW</t>
  </si>
  <si>
    <t>Toby</t>
  </si>
  <si>
    <t>12:30pm</t>
  </si>
  <si>
    <t>Jono</t>
  </si>
  <si>
    <t>Match 4</t>
  </si>
  <si>
    <t>Jordan</t>
  </si>
  <si>
    <t>Joe</t>
  </si>
  <si>
    <t>Lidia</t>
  </si>
  <si>
    <t>Josh</t>
  </si>
  <si>
    <t>Oscar</t>
  </si>
  <si>
    <t>Pablo</t>
  </si>
  <si>
    <t>() = supervised by</t>
  </si>
  <si>
    <t>Alex</t>
  </si>
  <si>
    <t>Car 1</t>
  </si>
  <si>
    <t>Car 2</t>
  </si>
  <si>
    <t>Car 3</t>
  </si>
  <si>
    <t>Car 4</t>
  </si>
  <si>
    <t>Departure time</t>
  </si>
  <si>
    <t>Departure hotel</t>
  </si>
  <si>
    <t>Deco</t>
  </si>
  <si>
    <t>17West</t>
  </si>
  <si>
    <t>Driver</t>
  </si>
  <si>
    <t>08:10</t>
  </si>
  <si>
    <t>Finn</t>
  </si>
  <si>
    <t>11:00</t>
  </si>
  <si>
    <t>Pablo (Pick up from Deco)</t>
  </si>
  <si>
    <t>Tash (Pick up from Deco)</t>
  </si>
  <si>
    <t>OJ</t>
  </si>
  <si>
    <t>PP (LNL)</t>
  </si>
  <si>
    <t>13:00</t>
  </si>
  <si>
    <t>Oscar (Pick up from Deco)</t>
  </si>
  <si>
    <t>Match 3</t>
  </si>
  <si>
    <t>GA (JZ)</t>
  </si>
  <si>
    <t>PP</t>
  </si>
  <si>
    <t>Hector (Pick up from Deco)</t>
  </si>
  <si>
    <t>8:10</t>
  </si>
  <si>
    <t>Match 5</t>
  </si>
  <si>
    <t>On-Site For</t>
  </si>
  <si>
    <t>Natasha (Pick up from Deco)</t>
  </si>
  <si>
    <t xml:space="preserve">Match 3 </t>
  </si>
  <si>
    <t xml:space="preserve">Jono </t>
  </si>
  <si>
    <t>8:45</t>
  </si>
  <si>
    <t>Site Survey Photo Checklist</t>
  </si>
  <si>
    <t>Full production courts</t>
  </si>
  <si>
    <t>Camera 1 - take a picture of the Camera 1 from the court as well as from behind the camera</t>
  </si>
  <si>
    <t>Close up picture of how the camera is mounted</t>
  </si>
  <si>
    <t>Picture of the gigabob and where it is placed</t>
  </si>
  <si>
    <t>Take a picture of the power source for the gigabob</t>
  </si>
  <si>
    <t>Camera 2 - take a picture from the court as well as from behind the camera</t>
  </si>
  <si>
    <t>Picture of the camera 2 bob and where it is placed</t>
  </si>
  <si>
    <t>Take a picture of the power source for the camera 2 bob</t>
  </si>
  <si>
    <t>Camera 3&amp;4 - take a picture facing the cameras</t>
  </si>
  <si>
    <t>Picture where the tripods are placed (eg. inside/outside a fence)</t>
  </si>
  <si>
    <t>Take a picture of the power source for the side ons</t>
  </si>
  <si>
    <t>Picture of the near mics</t>
  </si>
  <si>
    <t>Picture of the far mics</t>
  </si>
  <si>
    <t>Fibre - take a picture of the fibre box and where it is (or video route to the box)</t>
  </si>
  <si>
    <t>Picture of inside the fibre box - detailing box termination and port numbers</t>
  </si>
  <si>
    <t>Wide and tight picture of cable runs between bobs, cameras and mics</t>
  </si>
  <si>
    <t>Streaming courts</t>
  </si>
  <si>
    <t>Camera 1 - take a picture from the court as well as from behind the camera</t>
  </si>
  <si>
    <t>Picture of inside the streaming bob and where it is placed</t>
  </si>
  <si>
    <t>Take a picture of the power source for the streaming bob</t>
  </si>
  <si>
    <t>Take a photo/video of the entire control room, including all director stations, back desk and the streaming station</t>
  </si>
  <si>
    <t>Picture the TV Compound fibre boxes/patch rooms</t>
  </si>
  <si>
    <t>Take a picture of the power we were provided</t>
  </si>
  <si>
    <t>TV Compound map</t>
  </si>
  <si>
    <t>Picture where we kept our flight cases</t>
  </si>
  <si>
    <t>Cable runs to clients (eg. MCR, Crionet and ATP Media Broadcast)</t>
  </si>
  <si>
    <t xml:space="preserve">Take photos/videos of the cable route to each court (eg. the fibre box in the bunker to the front desk for that court) </t>
  </si>
  <si>
    <t>Picture where we placed our Norwia or Fibre Converters</t>
  </si>
  <si>
    <t>SP Full IP Address List 2025</t>
  </si>
  <si>
    <t>10.40.6.10</t>
  </si>
  <si>
    <t>DIRECTOR</t>
  </si>
  <si>
    <t>10.40.7.10</t>
  </si>
  <si>
    <t>10.40.8.10</t>
  </si>
  <si>
    <t>10.40.9.10</t>
  </si>
  <si>
    <t>10.40.10.10</t>
  </si>
  <si>
    <t>DIR 10GB NIC</t>
  </si>
  <si>
    <t>10.40.6.20</t>
  </si>
  <si>
    <t>SPARE</t>
  </si>
  <si>
    <t>10.40.7.20</t>
  </si>
  <si>
    <t>10.40.8.20</t>
  </si>
  <si>
    <t>10.40.9.20</t>
  </si>
  <si>
    <t>10.40.10.20</t>
  </si>
  <si>
    <t>SPR 10GB NIC</t>
  </si>
  <si>
    <t>10.40.6.30</t>
  </si>
  <si>
    <t>10.40.7.30</t>
  </si>
  <si>
    <t>10.40.8.30</t>
  </si>
  <si>
    <t>10.40.9.30</t>
  </si>
  <si>
    <t>10.40.10.30</t>
  </si>
  <si>
    <t>10.40.6.40</t>
  </si>
  <si>
    <t>Macro Panel</t>
  </si>
  <si>
    <t>10.40.7.40</t>
  </si>
  <si>
    <t>10.40.8.40</t>
  </si>
  <si>
    <t>10.40.9.40</t>
  </si>
  <si>
    <t>10.40.10.40</t>
  </si>
  <si>
    <t>10.40.6.50</t>
  </si>
  <si>
    <t>20x20</t>
  </si>
  <si>
    <t>10.40.7.50</t>
  </si>
  <si>
    <t>10.40.8.50</t>
  </si>
  <si>
    <t>10.40.9.50</t>
  </si>
  <si>
    <t>10.40.10.50</t>
  </si>
  <si>
    <t>10.40.6.60</t>
  </si>
  <si>
    <t xml:space="preserve">Network Switch </t>
  </si>
  <si>
    <t>10.40.7.60</t>
  </si>
  <si>
    <t>10.40.8.60</t>
  </si>
  <si>
    <t>10.40.9.60</t>
  </si>
  <si>
    <t>10.40.10.60</t>
  </si>
  <si>
    <t>10.40.6.70</t>
  </si>
  <si>
    <t>Desk Norwia</t>
  </si>
  <si>
    <t>10.40.7.70</t>
  </si>
  <si>
    <t>10.40.8.70</t>
  </si>
  <si>
    <t>10.40.9.70</t>
  </si>
  <si>
    <t>10.40.10.70</t>
  </si>
  <si>
    <t>10.40.6.71</t>
  </si>
  <si>
    <t>(deMUX Service)</t>
  </si>
  <si>
    <t>10.40.7.71</t>
  </si>
  <si>
    <t>10.40.8.71</t>
  </si>
  <si>
    <t>10.40.9.71</t>
  </si>
  <si>
    <t>10.40.10.71</t>
  </si>
  <si>
    <t>10.40.6.80</t>
  </si>
  <si>
    <t>Courtside Norwia</t>
  </si>
  <si>
    <t>10.40.7.80</t>
  </si>
  <si>
    <t>10.40.8.80</t>
  </si>
  <si>
    <t>10.40.9.80</t>
  </si>
  <si>
    <t>10.40.10.80</t>
  </si>
  <si>
    <t>10.40.6.81</t>
  </si>
  <si>
    <t>(MUX Service)</t>
  </si>
  <si>
    <t>10.40.7.81</t>
  </si>
  <si>
    <t>10.40.8.81</t>
  </si>
  <si>
    <t>10.40.9.81</t>
  </si>
  <si>
    <t>10.40.10.81</t>
  </si>
  <si>
    <t>10.40.6.90</t>
  </si>
  <si>
    <t>Courtside Mixer</t>
  </si>
  <si>
    <t>10.40.7.90</t>
  </si>
  <si>
    <t>10.40.8.90</t>
  </si>
  <si>
    <t>10.40.9.90</t>
  </si>
  <si>
    <t>10.40.10.90</t>
  </si>
  <si>
    <t>10.40.6.100</t>
  </si>
  <si>
    <t>10.40.7.100</t>
  </si>
  <si>
    <t>10.40.8.100</t>
  </si>
  <si>
    <t>10.40.9.100</t>
  </si>
  <si>
    <t>10.40.10.100</t>
  </si>
  <si>
    <t>10.40.6.101</t>
  </si>
  <si>
    <t>SPF.FR7.C1</t>
  </si>
  <si>
    <t>10.40.7.101</t>
  </si>
  <si>
    <t>SPG.FR7.C1</t>
  </si>
  <si>
    <t>10.40.8.101</t>
  </si>
  <si>
    <t>SPH.FR7.C1</t>
  </si>
  <si>
    <t>10.40.9.101</t>
  </si>
  <si>
    <t>SPI.FR7.C1</t>
  </si>
  <si>
    <t>10.40.10.101</t>
  </si>
  <si>
    <t>SPJ.FR7.C1</t>
  </si>
  <si>
    <t>10.40.6.102</t>
  </si>
  <si>
    <t>SPF.PXW.C2</t>
  </si>
  <si>
    <t>10.40.7.102</t>
  </si>
  <si>
    <t>SPG.PXW.C2</t>
  </si>
  <si>
    <t>10.40.8.102</t>
  </si>
  <si>
    <t>SPH.PXW.C2</t>
  </si>
  <si>
    <t>10.40.9.102</t>
  </si>
  <si>
    <t>SPI.PXW.C2</t>
  </si>
  <si>
    <t>10.40.10.102</t>
  </si>
  <si>
    <t>SPJ.PXW.C2</t>
  </si>
  <si>
    <t>10.40.6.103</t>
  </si>
  <si>
    <t>SPF.PXW.C3</t>
  </si>
  <si>
    <t>10.40.7.103</t>
  </si>
  <si>
    <t>SPG.PXW.C3</t>
  </si>
  <si>
    <t>10.40.8.103</t>
  </si>
  <si>
    <t>SPH.PXW.C3</t>
  </si>
  <si>
    <t>10.40.9.103</t>
  </si>
  <si>
    <t>SPI.PXW.C3</t>
  </si>
  <si>
    <t>10.40.10.103</t>
  </si>
  <si>
    <t>SPJ.PXW.C3</t>
  </si>
  <si>
    <t>10.40.6.104</t>
  </si>
  <si>
    <t>SPF.PXW.C4</t>
  </si>
  <si>
    <t>10.40.7.104</t>
  </si>
  <si>
    <t>SPG.PXW.C4</t>
  </si>
  <si>
    <t>10.40.8.104</t>
  </si>
  <si>
    <t>SPH.PXW.C4</t>
  </si>
  <si>
    <t>10.40.9.104</t>
  </si>
  <si>
    <t>SPI.PXW.C4</t>
  </si>
  <si>
    <t>10.40.10.104</t>
  </si>
  <si>
    <t>SPJ.PXW.C4</t>
  </si>
  <si>
    <t>10.40.6.105</t>
  </si>
  <si>
    <t>SPF.ZCAM.01</t>
  </si>
  <si>
    <t>10.40.7.105</t>
  </si>
  <si>
    <t>SPG.ZCAM.01</t>
  </si>
  <si>
    <t>10.40.8.105</t>
  </si>
  <si>
    <t>SPH.ZCAM.01</t>
  </si>
  <si>
    <t>10.40.9.105</t>
  </si>
  <si>
    <t>SPI.ZCAM.01</t>
  </si>
  <si>
    <t>10.40.10.105</t>
  </si>
  <si>
    <t>SPJ.ZCAM.01</t>
  </si>
  <si>
    <t>10.40.6.201</t>
  </si>
  <si>
    <t>ID Head 001</t>
  </si>
  <si>
    <t>10.40.7.201</t>
  </si>
  <si>
    <t>10.40.8.201</t>
  </si>
  <si>
    <t>10.40.9.201</t>
  </si>
  <si>
    <t>10.40.10.201</t>
  </si>
  <si>
    <t>10.40.6.202</t>
  </si>
  <si>
    <t>ID Head 002</t>
  </si>
  <si>
    <t>10.40.7.202</t>
  </si>
  <si>
    <t>10.40.8.202</t>
  </si>
  <si>
    <t>10.40.9.202</t>
  </si>
  <si>
    <t>10.40.10.202</t>
  </si>
  <si>
    <t>10.40.6.203</t>
  </si>
  <si>
    <t>10.40.7.203</t>
  </si>
  <si>
    <t>10.40.8.203</t>
  </si>
  <si>
    <t>10.40.9.203</t>
  </si>
  <si>
    <t>10.40.10.203</t>
  </si>
  <si>
    <r>
      <rPr>
        <rFont val="Arial"/>
        <b/>
        <color theme="1"/>
        <sz val="11.0"/>
      </rPr>
      <t xml:space="preserve">BACK DESK </t>
    </r>
    <r>
      <rPr>
        <rFont val="Arial"/>
        <b/>
        <i/>
        <color theme="1"/>
        <sz val="11.0"/>
      </rPr>
      <t>('Kit 0')</t>
    </r>
  </si>
  <si>
    <r>
      <rPr>
        <rFont val="Arial"/>
        <b/>
        <color theme="1"/>
        <sz val="11.0"/>
      </rPr>
      <t xml:space="preserve">STREAMING </t>
    </r>
    <r>
      <rPr>
        <rFont val="Arial"/>
        <b/>
        <i/>
        <color theme="1"/>
        <sz val="11.0"/>
      </rPr>
      <t>('Kit 11')</t>
    </r>
  </si>
  <si>
    <t>SPARE ID HEADS</t>
  </si>
  <si>
    <t>10.40.0.1</t>
  </si>
  <si>
    <t>Z4 Main Capture (10GB)</t>
  </si>
  <si>
    <t>10.40.11.10</t>
  </si>
  <si>
    <t>Main Streamer 1 (Main)</t>
  </si>
  <si>
    <t>10.40.0.210</t>
  </si>
  <si>
    <t>SPX.IDH001</t>
  </si>
  <si>
    <t>10.40.0.2</t>
  </si>
  <si>
    <t>Z4 Spare Capture (10GB)</t>
  </si>
  <si>
    <t>10.40.11.11</t>
  </si>
  <si>
    <t>Spare Streamer 1 (Main)</t>
  </si>
  <si>
    <t>10.40.0.211</t>
  </si>
  <si>
    <t>SPX.IDH002</t>
  </si>
  <si>
    <t>10.40.11.12</t>
  </si>
  <si>
    <t>Main Streamer 2 (Loose)</t>
  </si>
  <si>
    <t>10.40.0.5</t>
  </si>
  <si>
    <t>Z2 (GFX/Internet)</t>
  </si>
  <si>
    <t>10.40.11.13</t>
  </si>
  <si>
    <t>Spare Streamer 2 (Loose)</t>
  </si>
  <si>
    <t>10.40.0.6</t>
  </si>
  <si>
    <t>Z4 (CCU/Monitoring)</t>
  </si>
  <si>
    <t>10.40.11.40</t>
  </si>
  <si>
    <t>Streaming Macro Panel</t>
  </si>
  <si>
    <t>10.40.11.50</t>
  </si>
  <si>
    <t>Streaming 40x40</t>
  </si>
  <si>
    <t>10.40.0.30</t>
  </si>
  <si>
    <t>Multiview</t>
  </si>
  <si>
    <t>10.40.0.40</t>
  </si>
  <si>
    <t xml:space="preserve">10.40.11.90 </t>
  </si>
  <si>
    <t>Streaming Courtside Mixer</t>
  </si>
  <si>
    <t>10.40.0.50</t>
  </si>
  <si>
    <t>80x80</t>
  </si>
  <si>
    <t>10.40.0.60</t>
  </si>
  <si>
    <t xml:space="preserve">Network Switch M4300 (10GB) </t>
  </si>
  <si>
    <r>
      <rPr>
        <rFont val="Oswald"/>
        <b/>
        <sz val="20.0"/>
      </rPr>
      <t>Master Bug Reporting Sheet</t>
    </r>
    <r>
      <rPr>
        <rFont val="Oswald"/>
        <b/>
        <color rgb="FF1155CC"/>
        <sz val="20.0"/>
        <u/>
      </rPr>
      <t xml:space="preserve"> here </t>
    </r>
    <r>
      <rPr>
        <rFont val="Oswald"/>
        <b/>
        <sz val="20.0"/>
      </rPr>
      <t>- please fill out with as much detail as possible</t>
    </r>
  </si>
  <si>
    <t>Use Master Incident Log and Lessons Log Here</t>
  </si>
  <si>
    <t>ATP Media</t>
  </si>
  <si>
    <t>ELC Leadership</t>
  </si>
  <si>
    <t>Main Tournament Contact</t>
  </si>
  <si>
    <t>Onsite Contact</t>
  </si>
  <si>
    <t>Additional Onsite Contacts</t>
  </si>
  <si>
    <t>Scoring Provider</t>
  </si>
  <si>
    <t>Main TV Court Production</t>
  </si>
  <si>
    <t>Secondary TV Court Production</t>
  </si>
  <si>
    <t>Tournament IT</t>
  </si>
  <si>
    <t>Power</t>
  </si>
  <si>
    <t>Logistics</t>
  </si>
  <si>
    <t>SP Lead</t>
  </si>
  <si>
    <t>Phil and Rachael
- phil.tabor@atpmedia.tv
- rachael.Watson@atpmedia.tv</t>
  </si>
  <si>
    <t>Shona Oliphant - PM
Andrew Birse - TG</t>
  </si>
  <si>
    <t>Cath Stock
Catherine.Stock@img.com</t>
  </si>
  <si>
    <t>Dylan Churchill
dylan.churchill@img.com</t>
  </si>
  <si>
    <t>Brian - Big Screen
+1 (954) 806-4630</t>
  </si>
  <si>
    <t>Gravity Media
Matt Downing - PM
Matt.Downing@gravitymedia.com</t>
  </si>
  <si>
    <t>Jose
+1 (917) 327-1311
jmartinez@endeavorco.com</t>
  </si>
  <si>
    <t>Jason - Outdoor Court Audio
+1 (954) 444-3367
Mike - Stadium Court Audio Tech
+1 (954) 461-1814
Jamiil - Grandstand Court Audio Tech
+1 (954) 548-7328</t>
  </si>
  <si>
    <t>Brett - Agrecko - Courtside Power
+1 (913) 909-3858
Rob Burke - CES - TV Compound Power
+1 (801) 440-1930</t>
  </si>
  <si>
    <t>Jemima Venning</t>
  </si>
  <si>
    <t>Toby Foot</t>
  </si>
  <si>
    <t>SEE TABLE BELOW FOR EXAMPLES</t>
  </si>
  <si>
    <t>Converter to Loom</t>
  </si>
  <si>
    <t>Core #</t>
  </si>
  <si>
    <t xml:space="preserve">Vision </t>
  </si>
  <si>
    <t>Norwia Kit #</t>
  </si>
  <si>
    <t xml:space="preserve">e.g. 50m 4 core ST </t>
  </si>
  <si>
    <t>MCU</t>
  </si>
  <si>
    <t>Data A</t>
  </si>
  <si>
    <t>Startech Kit #</t>
  </si>
  <si>
    <t>Data B</t>
  </si>
  <si>
    <t xml:space="preserve">SP Control Room </t>
  </si>
  <si>
    <t>AJA R</t>
  </si>
  <si>
    <t xml:space="preserve">1 spare core of fibre </t>
  </si>
  <si>
    <t>Court # Cam 1  - Qualifying</t>
  </si>
  <si>
    <t>e.g. 90m 5 core SDI</t>
  </si>
  <si>
    <t>Court # PGM - Main Draw</t>
  </si>
  <si>
    <t>MCR/CAR</t>
  </si>
  <si>
    <t xml:space="preserve">World Feed </t>
  </si>
  <si>
    <t xml:space="preserve">e.g. 50m 3 core SDI </t>
  </si>
  <si>
    <t>EVS Playout</t>
  </si>
  <si>
    <t>Court # PGM</t>
  </si>
  <si>
    <t xml:space="preserve">ELC Bunker </t>
  </si>
  <si>
    <t xml:space="preserve">Stadium 5 Cam 1 </t>
  </si>
  <si>
    <t>AJA Fido T</t>
  </si>
  <si>
    <t>LC-ST</t>
  </si>
  <si>
    <t xml:space="preserve">e.g. 50m 8 core ST </t>
  </si>
  <si>
    <t xml:space="preserve">ST-LC Patch </t>
  </si>
  <si>
    <t>AJA Fido R</t>
  </si>
  <si>
    <t>Stadium 5 PGM</t>
  </si>
  <si>
    <t>Stadium 5 Chroma</t>
  </si>
  <si>
    <t>Stadium 5 Spare</t>
  </si>
  <si>
    <t>Network</t>
  </si>
  <si>
    <t>Startech Port 1</t>
  </si>
  <si>
    <t>SC-ST</t>
  </si>
  <si>
    <t xml:space="preserve">Network </t>
  </si>
  <si>
    <t>Startech Port 2</t>
  </si>
  <si>
    <t xml:space="preserve">Flightscope </t>
  </si>
  <si>
    <t xml:space="preserve">90m CAT 6 </t>
  </si>
  <si>
    <t>Court # Cam 1</t>
  </si>
  <si>
    <t>FIDO T AJA</t>
  </si>
  <si>
    <t>1 x 100m 8 core LC</t>
  </si>
  <si>
    <t>FIDO R AJA</t>
  </si>
  <si>
    <t>2 SDI Outputs on AJA R to duplicate</t>
  </si>
  <si>
    <t>"</t>
  </si>
  <si>
    <t>KIT A</t>
  </si>
  <si>
    <t>Input #</t>
  </si>
  <si>
    <t>Destination #</t>
  </si>
  <si>
    <t>Source #</t>
  </si>
  <si>
    <t>TRK DL IP 1</t>
  </si>
  <si>
    <t>TRK DL IP 2</t>
  </si>
  <si>
    <t>TRK DL IP 3</t>
  </si>
  <si>
    <t>TRK DL IP 4</t>
  </si>
  <si>
    <t xml:space="preserve">80x80 VH IP </t>
  </si>
  <si>
    <t>Spare Streaming PC DL IP</t>
  </si>
  <si>
    <t>Input Feed Name</t>
  </si>
  <si>
    <t>Videohub Ouptut #</t>
  </si>
  <si>
    <t>Director PC Decklink Port 1</t>
  </si>
  <si>
    <t>Norwia Patch Panel Output 1</t>
  </si>
  <si>
    <t>Director PC Decklink Port 2</t>
  </si>
  <si>
    <t>Norwia Patch Panel Output 2</t>
  </si>
  <si>
    <t>Director PC Decklink Port 3</t>
  </si>
  <si>
    <t>Norwia Patch Panel Output 3</t>
  </si>
  <si>
    <t>Director PC Decklink Port 4</t>
  </si>
  <si>
    <t>Norwia Patch Panel Output 4</t>
  </si>
  <si>
    <t>Norwia Patch Panel Output 5</t>
  </si>
  <si>
    <t>Norwia Patch Panel Output 6</t>
  </si>
  <si>
    <t>Director PC Decklink Port 5</t>
  </si>
  <si>
    <t>Director PC Decklink Port 6</t>
  </si>
  <si>
    <t>Spare PC Decklink Port 5</t>
  </si>
  <si>
    <t>Spare PC Decklink Port 6</t>
  </si>
  <si>
    <t>Director PC Decklink Port 7</t>
  </si>
  <si>
    <t>Director Clean Output</t>
  </si>
  <si>
    <t>Director PC Decklink Port 8</t>
  </si>
  <si>
    <t>Director Dirty Output</t>
  </si>
  <si>
    <t>Spare PC Decklink Port 7</t>
  </si>
  <si>
    <t>Spare Clean Output</t>
  </si>
  <si>
    <t>Spare PC Decklink Port 8</t>
  </si>
  <si>
    <t>Spare Dirty Output</t>
  </si>
  <si>
    <t>80x80 Videohub Input ?</t>
  </si>
  <si>
    <t>Spare Streaming PC Decklink IP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</si>
</sst>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dd, mmmm d"/>
    <numFmt numFmtId="165" formatCode="hh:mm"/>
    <numFmt numFmtId="166" formatCode="[$£-809]#,##0.00"/>
    <numFmt numFmtId="167" formatCode="d-m"/>
    <numFmt numFmtId="168" formatCode="dd/mm"/>
    <numFmt numFmtId="169" formatCode="d/m"/>
    <numFmt numFmtId="170" formatCode="dddd dd/mm"/>
    <numFmt numFmtId="171" formatCode="HH:mm:ss"/>
  </numFmts>
  <fonts count="158">
    <font>
      <sz val="10.0"/>
      <color rgb="FF000000"/>
      <name val="Arial"/>
      <scheme val="minor"/>
    </font>
    <font>
      <sz val="12.0"/>
      <color theme="1"/>
      <name val="Tahoma"/>
    </font>
    <font>
      <b/>
      <sz val="16.0"/>
      <color rgb="FFFFFFFF"/>
      <name val="Montserrat"/>
    </font>
    <font>
      <color rgb="FFFFFFFF"/>
      <name val="Montserrat"/>
    </font>
    <font>
      <color theme="1"/>
      <name val="Arial"/>
    </font>
    <font>
      <b/>
      <sz val="11.0"/>
      <color rgb="FFFFFFFF"/>
      <name val="Montserrat"/>
    </font>
    <font>
      <b/>
      <color rgb="FFFFFFFF"/>
      <name val="Montserrat"/>
    </font>
    <font/>
    <font>
      <color theme="1"/>
      <name val="Montserrat"/>
    </font>
    <font>
      <b/>
      <color theme="1"/>
      <name val="Montserrat"/>
    </font>
    <font>
      <i/>
      <color theme="1"/>
      <name val="Montserrat"/>
    </font>
    <font>
      <i/>
      <color rgb="FFB7B7B7"/>
      <name val="Montserrat"/>
    </font>
    <font>
      <b/>
      <sz val="12.0"/>
      <color rgb="FFFFFFFF"/>
      <name val="Oswald"/>
    </font>
    <font>
      <color theme="1"/>
      <name val="Oswald"/>
    </font>
    <font>
      <b/>
      <color rgb="FFFFFFFF"/>
      <name val="Oswald"/>
    </font>
    <font>
      <color theme="1"/>
      <name val="Arial"/>
      <scheme val="minor"/>
    </font>
    <font>
      <b/>
      <i/>
      <u/>
      <sz val="14.0"/>
      <color rgb="FF1155CC"/>
      <name val="Oswald"/>
    </font>
    <font>
      <b/>
      <sz val="14.0"/>
      <color rgb="FFFFFFFF"/>
      <name val="Oswald"/>
    </font>
    <font>
      <b/>
      <sz val="14.0"/>
      <color theme="1"/>
      <name val="Oswald"/>
    </font>
    <font>
      <i/>
      <sz val="12.0"/>
      <color theme="1"/>
      <name val="Oswald"/>
    </font>
    <font>
      <sz val="12.0"/>
      <color theme="1"/>
      <name val="Oswald"/>
    </font>
    <font>
      <b/>
      <i/>
      <sz val="13.0"/>
      <color rgb="FFFF0000"/>
      <name val="Oswald"/>
    </font>
    <font>
      <sz val="11.0"/>
      <color theme="1"/>
      <name val="Arial"/>
      <scheme val="minor"/>
    </font>
    <font>
      <u/>
      <sz val="12.0"/>
      <color rgb="FF0000FF"/>
      <name val="Oswald"/>
    </font>
    <font>
      <u/>
      <sz val="12.0"/>
      <color rgb="FF0000FF"/>
      <name val="Oswald"/>
    </font>
    <font>
      <u/>
      <sz val="13.0"/>
      <color rgb="FF0000FF"/>
      <name val="Oswald"/>
    </font>
    <font>
      <u/>
      <color theme="1"/>
      <name val="Oswald"/>
    </font>
    <font>
      <u/>
      <sz val="12.0"/>
      <color rgb="FF0000FF"/>
      <name val="Oswald"/>
    </font>
    <font>
      <u/>
      <color theme="1"/>
      <name val="Oswald"/>
    </font>
    <font>
      <u/>
      <sz val="12.0"/>
      <color theme="1"/>
      <name val="Oswald"/>
    </font>
    <font>
      <u/>
      <sz val="12.0"/>
      <color theme="1"/>
      <name val="Oswald"/>
    </font>
    <font>
      <u/>
      <sz val="12.0"/>
      <color theme="1"/>
      <name val="Oswald"/>
    </font>
    <font>
      <u/>
      <sz val="13.0"/>
      <color rgb="FF0000FF"/>
      <name val="Oswald"/>
    </font>
    <font>
      <u/>
      <sz val="12.0"/>
      <color rgb="FF0000FF"/>
      <name val="Oswald"/>
    </font>
    <font>
      <sz val="11.0"/>
      <color theme="1"/>
      <name val="Oswald"/>
    </font>
    <font>
      <b/>
      <sz val="14.0"/>
      <color theme="0"/>
      <name val="Oswald"/>
    </font>
    <font>
      <b/>
      <sz val="12.0"/>
      <color theme="0"/>
      <name val="Oswald"/>
    </font>
    <font>
      <sz val="12.0"/>
      <color rgb="FFFFFFFF"/>
      <name val="Oswald"/>
    </font>
    <font>
      <sz val="12.0"/>
      <color theme="0"/>
      <name val="Oswald"/>
    </font>
    <font>
      <u/>
      <sz val="12.0"/>
      <color theme="1"/>
      <name val="Oswald"/>
    </font>
    <font>
      <u/>
      <sz val="12.0"/>
      <color rgb="FF0000FF"/>
      <name val="Oswald"/>
    </font>
    <font>
      <u/>
      <sz val="12.0"/>
      <color rgb="FF0000FF"/>
      <name val="Oswald"/>
    </font>
    <font>
      <sz val="12.0"/>
      <color rgb="FF0000FF"/>
      <name val="Oswald"/>
    </font>
    <font>
      <u/>
      <sz val="12.0"/>
      <color rgb="FF0000FF"/>
      <name val="Oswald"/>
    </font>
    <font>
      <u/>
      <sz val="12.0"/>
      <color rgb="FF0000FF"/>
      <name val="Oswald"/>
    </font>
    <font>
      <sz val="11.0"/>
      <color theme="1"/>
      <name val="Arial"/>
    </font>
    <font>
      <u/>
      <sz val="12.0"/>
      <color theme="1"/>
      <name val="Oswald"/>
    </font>
    <font>
      <u/>
      <sz val="12.0"/>
      <color theme="1"/>
      <name val="Oswald"/>
    </font>
    <font>
      <u/>
      <sz val="11.0"/>
      <color rgb="FF1155CC"/>
      <name val="Arial"/>
    </font>
    <font>
      <i/>
      <sz val="12.0"/>
      <color rgb="FFFF0000"/>
      <name val="Oswald"/>
    </font>
    <font>
      <u/>
      <sz val="12.0"/>
      <color rgb="FF0000FF"/>
      <name val="Oswald"/>
    </font>
    <font>
      <u/>
      <sz val="12.0"/>
      <color rgb="FF0000FF"/>
      <name val="Oswald"/>
    </font>
    <font>
      <u/>
      <sz val="12.0"/>
      <color theme="1"/>
      <name val="Oswald"/>
    </font>
    <font>
      <b/>
      <sz val="12.0"/>
      <color rgb="FF000000"/>
      <name val="Oswald"/>
    </font>
    <font>
      <u/>
      <sz val="12.0"/>
      <color rgb="FF1155CC"/>
      <name val="Oswald"/>
    </font>
    <font>
      <u/>
      <sz val="12.0"/>
      <color rgb="FF1155CC"/>
      <name val="Oswald"/>
    </font>
    <font>
      <sz val="12.0"/>
      <color rgb="FF000000"/>
      <name val="Oswald"/>
    </font>
    <font>
      <u/>
      <sz val="12.0"/>
      <color rgb="FF000000"/>
      <name val="Oswald"/>
    </font>
    <font>
      <u/>
      <sz val="12.0"/>
      <color theme="1"/>
      <name val="Oswald"/>
    </font>
    <font>
      <u/>
      <sz val="12.0"/>
      <color theme="1"/>
      <name val="Oswald"/>
    </font>
    <font>
      <b/>
      <u/>
      <sz val="18.0"/>
      <color theme="1"/>
      <name val="Oswald"/>
    </font>
    <font>
      <b/>
      <sz val="12.0"/>
      <color theme="1"/>
      <name val="Oswald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u/>
      <sz val="10.0"/>
      <color rgb="FF000000"/>
      <name val="Oswald"/>
    </font>
    <font>
      <b/>
      <sz val="20.0"/>
      <color rgb="FFFFFFFF"/>
      <name val="Oswald"/>
    </font>
    <font>
      <b/>
      <sz val="12.0"/>
      <color rgb="FFFFFFFF"/>
      <name val="Arial"/>
      <scheme val="minor"/>
    </font>
    <font>
      <b/>
      <sz val="17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</font>
    <font>
      <b/>
      <sz val="15.0"/>
      <color theme="1"/>
      <name val="Arial"/>
    </font>
    <font>
      <b/>
      <color theme="1"/>
      <name val="Oswald"/>
    </font>
    <font>
      <b/>
      <sz val="11.0"/>
      <color rgb="FFFFFFFF"/>
      <name val="Oswald"/>
    </font>
    <font>
      <sz val="10.0"/>
      <color theme="1"/>
      <name val="Oswald"/>
    </font>
    <font>
      <sz val="10.0"/>
      <color rgb="FF000000"/>
      <name val="Oswald"/>
    </font>
    <font>
      <b/>
      <sz val="24.0"/>
      <color rgb="FFFFFFFF"/>
      <name val="Oswald"/>
    </font>
    <font>
      <b/>
      <sz val="10.0"/>
      <color rgb="FFFFFFFF"/>
      <name val="Oswald"/>
    </font>
    <font>
      <sz val="14.0"/>
      <color theme="1"/>
      <name val="Montserrat"/>
    </font>
    <font>
      <sz val="10.0"/>
      <color theme="1"/>
      <name val="Montserrat"/>
    </font>
    <font>
      <b/>
      <sz val="10.0"/>
      <color theme="1"/>
      <name val="Montserrat"/>
    </font>
    <font>
      <sz val="30.0"/>
      <color rgb="FFFFFFFF"/>
      <name val="Oswald"/>
    </font>
    <font>
      <u/>
      <sz val="12.0"/>
      <color rgb="FFFFFFFF"/>
      <name val="Oswald"/>
    </font>
    <font>
      <sz val="16.0"/>
      <color rgb="FFFFFFFF"/>
      <name val="Oswald"/>
    </font>
    <font>
      <sz val="14.0"/>
      <color theme="1"/>
      <name val="Oswald"/>
    </font>
    <font>
      <sz val="18.0"/>
      <color theme="1"/>
      <name val="Oswald"/>
    </font>
    <font>
      <sz val="18.0"/>
      <color theme="0"/>
      <name val="Oswald"/>
    </font>
    <font>
      <sz val="14.0"/>
      <color rgb="FF000000"/>
      <name val="Oswald"/>
    </font>
    <font>
      <b/>
      <color theme="1"/>
      <name val="Calibri"/>
    </font>
    <font>
      <b/>
      <sz val="9.0"/>
      <color rgb="FFFFFFFF"/>
      <name val="Oswald"/>
    </font>
    <font>
      <b/>
      <sz val="9.0"/>
      <color theme="1"/>
      <name val="Oswald"/>
    </font>
    <font>
      <sz val="9.0"/>
      <color theme="1"/>
      <name val="Oswald"/>
    </font>
    <font>
      <sz val="11.0"/>
      <color rgb="FF000000"/>
      <name val="Arial"/>
    </font>
    <font>
      <sz val="12.0"/>
      <color rgb="FF000000"/>
      <name val="Aptos"/>
    </font>
    <font>
      <b/>
      <sz val="14.0"/>
      <color rgb="FF000000"/>
      <name val="Oswald"/>
    </font>
    <font>
      <b/>
      <sz val="18.0"/>
      <color rgb="FFFF0000"/>
      <name val="Oswald"/>
    </font>
    <font>
      <b/>
      <sz val="18.0"/>
      <color theme="1"/>
      <name val="Oswald"/>
    </font>
    <font>
      <b/>
      <i/>
      <sz val="9.0"/>
      <color rgb="FFFFFFFF"/>
      <name val="Oswald"/>
    </font>
    <font>
      <b/>
      <sz val="9.0"/>
      <color rgb="FFFF0000"/>
      <name val="Oswald"/>
    </font>
    <font>
      <sz val="9.0"/>
      <color rgb="FFFFFFFF"/>
      <name val="Oswald"/>
    </font>
    <font>
      <sz val="9.0"/>
      <color rgb="FF000000"/>
      <name val="Oswald"/>
    </font>
    <font>
      <b/>
      <sz val="32.0"/>
      <color theme="1"/>
      <name val="Oswald"/>
    </font>
    <font>
      <b/>
      <sz val="37.0"/>
      <color theme="1"/>
      <name val="Oswald"/>
    </font>
    <font>
      <b/>
      <sz val="34.0"/>
      <color theme="1"/>
      <name val="Oswald"/>
    </font>
    <font>
      <b/>
      <color rgb="FFEA4335"/>
      <name val="Oswald"/>
    </font>
    <font>
      <b/>
      <u/>
      <sz val="12.0"/>
      <color rgb="FF000000"/>
      <name val="Oswald"/>
    </font>
    <font>
      <color rgb="FF000000"/>
      <name val="Oswald"/>
    </font>
    <font>
      <b/>
      <sz val="13.0"/>
      <color rgb="FFFFFFFF"/>
      <name val="Oswald"/>
    </font>
    <font>
      <b/>
      <color theme="1"/>
      <name val="Arial"/>
    </font>
    <font>
      <b/>
      <sz val="16.0"/>
      <color theme="1"/>
      <name val="Oswald"/>
    </font>
    <font>
      <b/>
      <sz val="12.0"/>
      <color rgb="FFFF0000"/>
      <name val="Oswald"/>
    </font>
    <font>
      <u/>
      <sz val="12.0"/>
      <color rgb="FFFFFFFF"/>
      <name val="Oswald"/>
    </font>
    <font>
      <b/>
      <i/>
      <sz val="14.0"/>
      <color rgb="FFFF0000"/>
      <name val="Oswald"/>
    </font>
    <font>
      <u/>
      <sz val="14.0"/>
      <color rgb="FF000000"/>
      <name val="Oswald"/>
    </font>
    <font>
      <i/>
      <sz val="11.0"/>
      <color rgb="FF999999"/>
      <name val="Oswald"/>
    </font>
    <font>
      <b/>
      <u/>
      <sz val="11.0"/>
      <color rgb="FF1155CC"/>
      <name val="Oswald"/>
    </font>
    <font>
      <i/>
      <u/>
      <sz val="13.0"/>
      <color rgb="FF0000FF"/>
      <name val="Oswald"/>
    </font>
    <font>
      <b/>
      <i/>
      <sz val="12.0"/>
      <color rgb="FFFF0000"/>
      <name val="Oswald"/>
    </font>
    <font>
      <u/>
      <sz val="30.0"/>
      <color rgb="FF0000FF"/>
      <name val="Oswald"/>
    </font>
    <font>
      <i/>
      <sz val="12.0"/>
      <color rgb="FFB7B7B7"/>
      <name val="Oswald"/>
    </font>
    <font>
      <u/>
      <sz val="30.0"/>
      <color rgb="FF0000FF"/>
      <name val="Oswald"/>
    </font>
    <font>
      <sz val="14.0"/>
      <color rgb="FFFFFFFF"/>
      <name val="Oswald"/>
    </font>
    <font>
      <b/>
      <u/>
      <sz val="14.0"/>
      <color theme="0"/>
      <name val="Oswald"/>
    </font>
    <font>
      <color rgb="FF741B47"/>
      <name val="Oswald"/>
    </font>
    <font>
      <b/>
      <i/>
      <color theme="1"/>
      <name val="Oswald"/>
    </font>
    <font>
      <i/>
      <color rgb="FF000000"/>
      <name val="Oswald"/>
    </font>
    <font>
      <sz val="10.0"/>
      <color rgb="FF1F1F1F"/>
      <name val="Arial"/>
      <scheme val="minor"/>
    </font>
    <font>
      <b/>
      <u/>
      <sz val="14.0"/>
      <color theme="1"/>
      <name val="Arial"/>
      <scheme val="minor"/>
    </font>
    <font>
      <b/>
      <color theme="1"/>
      <name val="Roboto"/>
    </font>
    <font>
      <b/>
      <color rgb="FF222222"/>
      <name val="Roboto"/>
    </font>
    <font>
      <b/>
      <color rgb="FF000000"/>
      <name val="Roboto"/>
    </font>
    <font>
      <b/>
      <color rgb="FF999999"/>
      <name val="Roboto"/>
    </font>
    <font>
      <color rgb="FF000000"/>
      <name val="Roboto"/>
    </font>
    <font>
      <i/>
      <color rgb="FF999999"/>
      <name val="Roboto"/>
    </font>
    <font>
      <color rgb="FF000000"/>
      <name val="Arial"/>
    </font>
    <font>
      <b/>
      <sz val="11.0"/>
      <color theme="1"/>
      <name val="Roboto"/>
    </font>
    <font>
      <b/>
      <sz val="11.0"/>
      <color rgb="FF000000"/>
      <name val="Roboto"/>
    </font>
    <font>
      <b/>
      <color theme="1"/>
      <name val="Oxygen"/>
    </font>
    <font>
      <b/>
      <color rgb="FF000000"/>
      <name val="Oxygen"/>
    </font>
    <font>
      <b/>
      <color rgb="FF000000"/>
      <name val="Arial"/>
      <scheme val="minor"/>
    </font>
    <font>
      <i/>
      <color theme="1"/>
      <name val="Arial"/>
      <scheme val="minor"/>
    </font>
    <font>
      <b/>
      <sz val="30.0"/>
      <color rgb="FFFFFFFF"/>
      <name val="Oswald"/>
    </font>
    <font>
      <b/>
      <u/>
      <sz val="14.0"/>
      <color rgb="FF0000FF"/>
      <name val="Oswald"/>
    </font>
    <font>
      <u/>
      <color rgb="FF1155CC"/>
      <name val="Oswald"/>
    </font>
    <font>
      <u/>
      <sz val="10.0"/>
      <color rgb="FF1155CC"/>
      <name val="Oswald"/>
    </font>
    <font>
      <sz val="10.0"/>
      <color theme="1"/>
      <name val="Arial"/>
      <scheme val="minor"/>
    </font>
    <font>
      <b/>
      <sz val="11.0"/>
      <color rgb="FFFFFFFF"/>
      <name val="Arial"/>
    </font>
    <font>
      <b/>
      <sz val="11.0"/>
      <color rgb="FF000000"/>
      <name val="Arial"/>
    </font>
    <font>
      <sz val="8.0"/>
      <color theme="1"/>
      <name val="Oswald"/>
    </font>
    <font>
      <sz val="8.0"/>
      <color theme="1"/>
      <name val="Arial"/>
      <scheme val="minor"/>
    </font>
    <font>
      <sz val="11.0"/>
      <color rgb="FF000000"/>
      <name val="Oswald"/>
    </font>
    <font>
      <b/>
      <sz val="11.0"/>
      <color theme="1"/>
      <name val="Arial"/>
    </font>
    <font>
      <b/>
      <u/>
      <sz val="20.0"/>
      <color rgb="FF0000FF"/>
      <name val="Oswald"/>
    </font>
    <font>
      <b/>
      <u/>
      <sz val="20.0"/>
      <color rgb="FF0000FF"/>
      <name val="Oswald"/>
    </font>
    <font>
      <b/>
      <sz val="14.0"/>
      <color rgb="FFFF5000"/>
      <name val="Arial"/>
    </font>
    <font>
      <b/>
      <sz val="14.0"/>
      <color rgb="FF000000"/>
      <name val="Arial"/>
    </font>
    <font>
      <sz val="10.0"/>
      <color rgb="FF000000"/>
      <name val="Arial"/>
    </font>
  </fonts>
  <fills count="72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46BDC6"/>
        <bgColor rgb="FF46BDC6"/>
      </patternFill>
    </fill>
    <fill>
      <patternFill patternType="solid">
        <fgColor rgb="FFFF6D01"/>
        <bgColor rgb="FFFF6D01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  <fill>
      <patternFill patternType="solid">
        <fgColor rgb="FFE6FF98"/>
        <bgColor rgb="FFE6FF98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0091D2"/>
        <bgColor rgb="FF0091D2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theme="5"/>
        <bgColor theme="5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783F04"/>
        <bgColor rgb="FF783F04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theme="1"/>
        <bgColor theme="1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CCC0D9"/>
        <bgColor rgb="FFCCC0D9"/>
      </patternFill>
    </fill>
    <fill>
      <patternFill patternType="solid">
        <fgColor rgb="FF6D9EEB"/>
        <bgColor rgb="FF6D9EEB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A64D79"/>
        <bgColor rgb="FFA64D79"/>
      </patternFill>
    </fill>
    <fill>
      <patternFill patternType="solid">
        <fgColor rgb="FFF3F1DE"/>
        <bgColor rgb="FFF3F1DE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34A853"/>
        <bgColor rgb="FF34A853"/>
      </patternFill>
    </fill>
    <fill>
      <patternFill patternType="solid">
        <fgColor rgb="FF9FC5E8"/>
        <bgColor rgb="FF9FC5E8"/>
      </patternFill>
    </fill>
    <fill>
      <patternFill patternType="solid">
        <fgColor rgb="FF990000"/>
        <bgColor rgb="FF990000"/>
      </patternFill>
    </fill>
    <fill>
      <patternFill patternType="solid">
        <fgColor rgb="FFEFEFEF"/>
        <bgColor rgb="FFEFEFEF"/>
      </patternFill>
    </fill>
    <fill>
      <patternFill patternType="solid">
        <fgColor rgb="FF46F0F0"/>
        <bgColor rgb="FF46F0F0"/>
      </patternFill>
    </fill>
    <fill>
      <patternFill patternType="solid">
        <fgColor rgb="FFFFFAC8"/>
        <bgColor rgb="FFFFFAC8"/>
      </patternFill>
    </fill>
    <fill>
      <patternFill patternType="solid">
        <fgColor rgb="FFAAFFC3"/>
        <bgColor rgb="FFAAFFC3"/>
      </patternFill>
    </fill>
    <fill>
      <patternFill patternType="solid">
        <fgColor rgb="FF8179C7"/>
        <bgColor rgb="FF8179C7"/>
      </patternFill>
    </fill>
    <fill>
      <patternFill patternType="solid">
        <fgColor rgb="FFF032E6"/>
        <bgColor rgb="FFF032E6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B45F06"/>
        <bgColor rgb="FFB45F06"/>
      </patternFill>
    </fill>
    <fill>
      <patternFill patternType="solid">
        <fgColor rgb="FFBDBDBD"/>
        <bgColor rgb="FFBDBDBD"/>
      </patternFill>
    </fill>
    <fill>
      <patternFill patternType="solid">
        <fgColor rgb="FF38761D"/>
        <bgColor rgb="FF38761D"/>
      </patternFill>
    </fill>
    <fill>
      <patternFill patternType="solid">
        <fgColor rgb="FF9900FF"/>
        <bgColor rgb="FF9900FF"/>
      </patternFill>
    </fill>
  </fills>
  <borders count="116">
    <border/>
    <border>
      <left style="medium">
        <color rgb="FF46BDC6"/>
      </left>
      <top style="medium">
        <color rgb="FF46BDC6"/>
      </top>
    </border>
    <border>
      <right style="dotted">
        <color rgb="FF46BDC6"/>
      </right>
      <top style="medium">
        <color rgb="FF46BDC6"/>
      </top>
    </border>
    <border>
      <top style="medium">
        <color rgb="FF46BDC6"/>
      </top>
    </border>
    <border>
      <right style="medium">
        <color rgb="FF46BDC6"/>
      </right>
      <top style="medium">
        <color rgb="FF46BDC6"/>
      </top>
    </border>
    <border>
      <left style="medium">
        <color rgb="FF46BDC6"/>
      </left>
      <bottom style="medium">
        <color rgb="FF46BDC6"/>
      </bottom>
    </border>
    <border>
      <right style="dotted">
        <color rgb="FF46BDC6"/>
      </right>
      <bottom style="medium">
        <color rgb="FF46BDC6"/>
      </bottom>
    </border>
    <border>
      <bottom style="medium">
        <color rgb="FF46BDC6"/>
      </bottom>
    </border>
    <border>
      <right style="medium">
        <color rgb="FF46BDC6"/>
      </right>
      <bottom style="medium">
        <color rgb="FF46BDC6"/>
      </bottom>
    </border>
    <border>
      <left style="medium">
        <color rgb="FF46BDC6"/>
      </left>
    </border>
    <border>
      <right style="dotted">
        <color rgb="FF46BDC6"/>
      </right>
    </border>
    <border>
      <right style="medium">
        <color rgb="FF46BDC6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thick">
        <color rgb="FF000000"/>
      </bottom>
    </border>
    <border>
      <top style="thin">
        <color rgb="FFFFFFFF"/>
      </top>
      <bottom style="thin">
        <color rgb="FFFFFFFF"/>
      </bottom>
    </border>
    <border>
      <right style="thick">
        <color rgb="FF000000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73763"/>
      </left>
      <top style="thick">
        <color rgb="FF073763"/>
      </top>
    </border>
    <border>
      <top style="thick">
        <color rgb="FF073763"/>
      </top>
    </border>
    <border>
      <right style="thick">
        <color rgb="FF073763"/>
      </right>
      <top style="thick">
        <color rgb="FF073763"/>
      </top>
    </border>
    <border>
      <left style="thick">
        <color rgb="FF073763"/>
      </left>
    </border>
    <border>
      <right style="thick">
        <color rgb="FF073763"/>
      </right>
    </border>
    <border>
      <left style="thick">
        <color rgb="FF073763"/>
      </left>
      <bottom style="thick">
        <color rgb="FF073763"/>
      </bottom>
    </border>
    <border>
      <bottom style="thick">
        <color rgb="FF073763"/>
      </bottom>
    </border>
    <border>
      <right style="thick">
        <color rgb="FF073763"/>
      </right>
      <bottom style="thick">
        <color rgb="FF073763"/>
      </bottom>
    </border>
    <border>
      <left style="thick">
        <color rgb="FF3D85C6"/>
      </left>
    </border>
    <border>
      <left style="thick">
        <color rgb="FF3D85C6"/>
      </left>
      <bottom style="thick">
        <color rgb="FF3D85C6"/>
      </bottom>
    </border>
    <border>
      <bottom style="thick">
        <color rgb="FF3D85C6"/>
      </bottom>
    </border>
    <border>
      <right style="thick">
        <color rgb="FF3D85C6"/>
      </right>
      <bottom style="thick">
        <color rgb="FF3D85C6"/>
      </bottom>
    </border>
    <border>
      <left style="thick">
        <color rgb="FF3D85C6"/>
      </left>
      <top style="thick">
        <color rgb="FF3D85C6"/>
      </top>
    </border>
    <border>
      <left style="thick">
        <color rgb="FF0091D2"/>
      </left>
      <right style="thick">
        <color rgb="FF3D85C6"/>
      </right>
      <top style="thick">
        <color rgb="FF3D85C6"/>
      </top>
      <bottom style="thick">
        <color rgb="FF3D85C6"/>
      </bottom>
    </border>
    <border>
      <right style="thick">
        <color rgb="FF3D85C6"/>
      </right>
      <top style="thick">
        <color rgb="FF3D85C6"/>
      </top>
      <bottom style="thick">
        <color rgb="FF3D85C6"/>
      </bottom>
    </border>
    <border>
      <left style="thick">
        <color rgb="FF3D85C6"/>
      </left>
      <top style="thick">
        <color rgb="FF3D85C6"/>
      </top>
      <bottom style="thick">
        <color rgb="FF3D85C6"/>
      </bottom>
    </border>
    <border>
      <left style="thick">
        <color rgb="FF3D85C6"/>
      </left>
      <top style="thick">
        <color rgb="FF3D85C6"/>
      </top>
      <bottom style="thick">
        <color rgb="FF0091D2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FFFF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</borders>
  <cellStyleXfs count="1">
    <xf borderId="0" fillId="0" fontId="0" numFmtId="0" applyAlignment="1" applyFont="1"/>
  </cellStyleXfs>
  <cellXfs count="112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2" fontId="2" numFmtId="49" xfId="0" applyAlignment="1" applyFill="1" applyFont="1" applyNumberFormat="1">
      <alignment vertical="bottom"/>
    </xf>
    <xf borderId="0" fillId="3" fontId="3" numFmtId="49" xfId="0" applyAlignment="1" applyFill="1" applyFont="1" applyNumberFormat="1">
      <alignment vertical="bottom"/>
    </xf>
    <xf borderId="0" fillId="0" fontId="4" numFmtId="49" xfId="0" applyAlignment="1" applyFont="1" applyNumberFormat="1">
      <alignment vertical="bottom"/>
    </xf>
    <xf borderId="1" fillId="4" fontId="5" numFmtId="49" xfId="0" applyAlignment="1" applyBorder="1" applyFill="1" applyFont="1" applyNumberFormat="1">
      <alignment horizontal="center" vertical="bottom"/>
    </xf>
    <xf borderId="2" fillId="4" fontId="4" numFmtId="49" xfId="0" applyAlignment="1" applyBorder="1" applyFont="1" applyNumberFormat="1">
      <alignment vertical="bottom"/>
    </xf>
    <xf borderId="3" fillId="4" fontId="6" numFmtId="164" xfId="0" applyAlignment="1" applyBorder="1" applyFont="1" applyNumberFormat="1">
      <alignment horizontal="center" readingOrder="0" vertical="bottom"/>
    </xf>
    <xf borderId="3" fillId="0" fontId="7" numFmtId="0" xfId="0" applyBorder="1" applyFont="1"/>
    <xf borderId="3" fillId="4" fontId="4" numFmtId="49" xfId="0" applyAlignment="1" applyBorder="1" applyFont="1" applyNumberFormat="1">
      <alignment vertical="bottom"/>
    </xf>
    <xf borderId="4" fillId="4" fontId="4" numFmtId="49" xfId="0" applyAlignment="1" applyBorder="1" applyFont="1" applyNumberFormat="1">
      <alignment vertical="bottom"/>
    </xf>
    <xf borderId="5" fillId="5" fontId="6" numFmtId="49" xfId="0" applyAlignment="1" applyBorder="1" applyFill="1" applyFont="1" applyNumberFormat="1">
      <alignment horizontal="center" vertical="bottom"/>
    </xf>
    <xf borderId="6" fillId="5" fontId="6" numFmtId="49" xfId="0" applyAlignment="1" applyBorder="1" applyFont="1" applyNumberFormat="1">
      <alignment horizontal="center" vertical="bottom"/>
    </xf>
    <xf borderId="7" fillId="5" fontId="6" numFmtId="49" xfId="0" applyAlignment="1" applyBorder="1" applyFont="1" applyNumberFormat="1">
      <alignment horizontal="center" vertical="bottom"/>
    </xf>
    <xf borderId="8" fillId="5" fontId="6" numFmtId="49" xfId="0" applyAlignment="1" applyBorder="1" applyFont="1" applyNumberFormat="1">
      <alignment horizontal="center" vertical="bottom"/>
    </xf>
    <xf borderId="9" fillId="0" fontId="8" numFmtId="49" xfId="0" applyAlignment="1" applyBorder="1" applyFont="1" applyNumberFormat="1">
      <alignment horizontal="center" vertical="bottom"/>
    </xf>
    <xf borderId="10" fillId="0" fontId="8" numFmtId="165" xfId="0" applyAlignment="1" applyBorder="1" applyFont="1" applyNumberFormat="1">
      <alignment horizontal="center" vertical="bottom"/>
    </xf>
    <xf borderId="0" fillId="0" fontId="8" numFmtId="49" xfId="0" applyAlignment="1" applyFont="1" applyNumberFormat="1">
      <alignment horizontal="center" vertical="bottom"/>
    </xf>
    <xf borderId="11" fillId="0" fontId="8" numFmtId="49" xfId="0" applyAlignment="1" applyBorder="1" applyFont="1" applyNumberFormat="1">
      <alignment horizontal="center" vertical="bottom"/>
    </xf>
    <xf borderId="9" fillId="6" fontId="8" numFmtId="49" xfId="0" applyAlignment="1" applyBorder="1" applyFill="1" applyFont="1" applyNumberFormat="1">
      <alignment horizontal="center" vertical="bottom"/>
    </xf>
    <xf borderId="10" fillId="6" fontId="8" numFmtId="49" xfId="0" applyAlignment="1" applyBorder="1" applyFont="1" applyNumberFormat="1">
      <alignment horizontal="center" vertical="bottom"/>
    </xf>
    <xf borderId="0" fillId="6" fontId="4" numFmtId="49" xfId="0" applyAlignment="1" applyFont="1" applyNumberFormat="1">
      <alignment vertical="bottom"/>
    </xf>
    <xf borderId="0" fillId="6" fontId="8" numFmtId="49" xfId="0" applyAlignment="1" applyFont="1" applyNumberFormat="1">
      <alignment horizontal="center" vertical="bottom"/>
    </xf>
    <xf borderId="11" fillId="6" fontId="8" numFmtId="49" xfId="0" applyAlignment="1" applyBorder="1" applyFont="1" applyNumberFormat="1">
      <alignment horizontal="center" vertical="bottom"/>
    </xf>
    <xf borderId="10" fillId="0" fontId="8" numFmtId="49" xfId="0" applyAlignment="1" applyBorder="1" applyFont="1" applyNumberFormat="1">
      <alignment horizontal="center" vertical="bottom"/>
    </xf>
    <xf borderId="10" fillId="6" fontId="4" numFmtId="49" xfId="0" applyAlignment="1" applyBorder="1" applyFont="1" applyNumberFormat="1">
      <alignment vertical="bottom"/>
    </xf>
    <xf borderId="11" fillId="6" fontId="4" numFmtId="49" xfId="0" applyAlignment="1" applyBorder="1" applyFont="1" applyNumberFormat="1">
      <alignment vertical="bottom"/>
    </xf>
    <xf borderId="10" fillId="0" fontId="4" numFmtId="49" xfId="0" applyAlignment="1" applyBorder="1" applyFont="1" applyNumberFormat="1">
      <alignment vertical="bottom"/>
    </xf>
    <xf borderId="11" fillId="0" fontId="4" numFmtId="49" xfId="0" applyAlignment="1" applyBorder="1" applyFont="1" applyNumberFormat="1">
      <alignment vertical="bottom"/>
    </xf>
    <xf borderId="5" fillId="6" fontId="8" numFmtId="49" xfId="0" applyAlignment="1" applyBorder="1" applyFont="1" applyNumberFormat="1">
      <alignment horizontal="center" vertical="bottom"/>
    </xf>
    <xf borderId="6" fillId="6" fontId="4" numFmtId="49" xfId="0" applyAlignment="1" applyBorder="1" applyFont="1" applyNumberFormat="1">
      <alignment vertical="bottom"/>
    </xf>
    <xf borderId="7" fillId="6" fontId="4" numFmtId="49" xfId="0" applyAlignment="1" applyBorder="1" applyFont="1" applyNumberFormat="1">
      <alignment vertical="bottom"/>
    </xf>
    <xf borderId="8" fillId="6" fontId="4" numFmtId="49" xfId="0" applyAlignment="1" applyBorder="1" applyFont="1" applyNumberFormat="1">
      <alignment vertical="bottom"/>
    </xf>
    <xf borderId="1" fillId="4" fontId="6" numFmtId="49" xfId="0" applyAlignment="1" applyBorder="1" applyFont="1" applyNumberFormat="1">
      <alignment horizontal="center" vertical="bottom"/>
    </xf>
    <xf borderId="0" fillId="0" fontId="9" numFmtId="49" xfId="0" applyAlignment="1" applyFont="1" applyNumberFormat="1">
      <alignment horizontal="center" vertical="bottom"/>
    </xf>
    <xf borderId="11" fillId="0" fontId="9" numFmtId="49" xfId="0" applyAlignment="1" applyBorder="1" applyFont="1" applyNumberFormat="1">
      <alignment horizontal="center" vertical="bottom"/>
    </xf>
    <xf borderId="0" fillId="6" fontId="9" numFmtId="49" xfId="0" applyAlignment="1" applyFont="1" applyNumberFormat="1">
      <alignment horizontal="center" vertical="bottom"/>
    </xf>
    <xf borderId="11" fillId="6" fontId="9" numFmtId="49" xfId="0" applyAlignment="1" applyBorder="1" applyFont="1" applyNumberFormat="1">
      <alignment horizontal="center" vertical="bottom"/>
    </xf>
    <xf borderId="6" fillId="6" fontId="8" numFmtId="49" xfId="0" applyAlignment="1" applyBorder="1" applyFont="1" applyNumberFormat="1">
      <alignment horizontal="center" vertical="bottom"/>
    </xf>
    <xf borderId="7" fillId="6" fontId="9" numFmtId="49" xfId="0" applyAlignment="1" applyBorder="1" applyFont="1" applyNumberFormat="1">
      <alignment horizontal="center" vertical="bottom"/>
    </xf>
    <xf borderId="7" fillId="6" fontId="8" numFmtId="49" xfId="0" applyAlignment="1" applyBorder="1" applyFont="1" applyNumberFormat="1">
      <alignment horizontal="center" vertical="bottom"/>
    </xf>
    <xf borderId="12" fillId="7" fontId="1" numFmtId="49" xfId="0" applyBorder="1" applyFill="1" applyFont="1" applyNumberFormat="1"/>
    <xf borderId="0" fillId="0" fontId="4" numFmtId="164" xfId="0" applyAlignment="1" applyFont="1" applyNumberFormat="1">
      <alignment vertical="bottom"/>
    </xf>
    <xf borderId="0" fillId="6" fontId="10" numFmtId="49" xfId="0" applyAlignment="1" applyFont="1" applyNumberFormat="1">
      <alignment horizontal="center" vertical="bottom"/>
    </xf>
    <xf borderId="0" fillId="8" fontId="8" numFmtId="49" xfId="0" applyAlignment="1" applyFill="1" applyFont="1" applyNumberFormat="1">
      <alignment horizontal="center" vertical="bottom"/>
    </xf>
    <xf borderId="7" fillId="6" fontId="11" numFmtId="49" xfId="0" applyAlignment="1" applyBorder="1" applyFont="1" applyNumberFormat="1">
      <alignment horizontal="center" vertical="bottom"/>
    </xf>
    <xf borderId="0" fillId="9" fontId="8" numFmtId="49" xfId="0" applyAlignment="1" applyFill="1" applyFont="1" applyNumberFormat="1">
      <alignment horizontal="center" vertical="bottom"/>
    </xf>
    <xf borderId="0" fillId="10" fontId="12" numFmtId="0" xfId="0" applyAlignment="1" applyFill="1" applyFont="1">
      <alignment readingOrder="0" vertical="bottom"/>
    </xf>
    <xf borderId="13" fillId="10" fontId="13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1"/>
    </xf>
    <xf borderId="13" fillId="10" fontId="14" numFmtId="0" xfId="0" applyAlignment="1" applyBorder="1" applyFont="1">
      <alignment vertical="bottom"/>
    </xf>
    <xf borderId="13" fillId="0" fontId="13" numFmtId="0" xfId="0" applyAlignment="1" applyBorder="1" applyFont="1">
      <alignment shrinkToFit="0" vertical="bottom" wrapText="1"/>
    </xf>
    <xf borderId="13" fillId="0" fontId="13" numFmtId="0" xfId="0" applyAlignment="1" applyBorder="1" applyFont="1">
      <alignment readingOrder="0" shrinkToFit="0" vertical="bottom" wrapText="1"/>
    </xf>
    <xf borderId="13" fillId="0" fontId="13" numFmtId="0" xfId="0" applyAlignment="1" applyBorder="1" applyFont="1">
      <alignment readingOrder="0" vertical="bottom"/>
    </xf>
    <xf borderId="13" fillId="11" fontId="13" numFmtId="0" xfId="0" applyAlignment="1" applyBorder="1" applyFill="1" applyFont="1">
      <alignment readingOrder="0" shrinkToFit="0" vertical="bottom" wrapText="1"/>
    </xf>
    <xf borderId="13" fillId="0" fontId="13" numFmtId="0" xfId="0" applyAlignment="1" applyBorder="1" applyFont="1">
      <alignment shrinkToFit="0" vertical="bottom" wrapText="1"/>
    </xf>
    <xf borderId="14" fillId="0" fontId="13" numFmtId="0" xfId="0" applyAlignment="1" applyBorder="1" applyFont="1">
      <alignment shrinkToFit="0" vertical="bottom" wrapText="1"/>
    </xf>
    <xf borderId="13" fillId="0" fontId="1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15" fillId="0" fontId="13" numFmtId="0" xfId="0" applyAlignment="1" applyBorder="1" applyFont="1">
      <alignment readingOrder="0"/>
    </xf>
    <xf borderId="13" fillId="0" fontId="13" numFmtId="0" xfId="0" applyAlignment="1" applyBorder="1" applyFont="1">
      <alignment readingOrder="0"/>
    </xf>
    <xf borderId="0" fillId="0" fontId="15" numFmtId="0" xfId="0" applyFont="1"/>
    <xf borderId="0" fillId="7" fontId="16" numFmtId="166" xfId="0" applyAlignment="1" applyFont="1" applyNumberFormat="1">
      <alignment horizontal="center" shrinkToFit="0" vertical="bottom" wrapText="1"/>
    </xf>
    <xf borderId="0" fillId="12" fontId="17" numFmtId="166" xfId="0" applyAlignment="1" applyFill="1" applyFont="1" applyNumberFormat="1">
      <alignment horizontal="center" shrinkToFit="0" wrapText="1"/>
    </xf>
    <xf borderId="0" fillId="12" fontId="17" numFmtId="166" xfId="0" applyAlignment="1" applyFont="1" applyNumberFormat="1">
      <alignment horizontal="center" readingOrder="0" shrinkToFit="0" wrapText="1"/>
    </xf>
    <xf borderId="16" fillId="13" fontId="17" numFmtId="166" xfId="0" applyAlignment="1" applyBorder="1" applyFill="1" applyFont="1" applyNumberFormat="1">
      <alignment horizontal="center" shrinkToFit="0" wrapText="1"/>
    </xf>
    <xf borderId="17" fillId="0" fontId="7" numFmtId="0" xfId="0" applyBorder="1" applyFont="1"/>
    <xf borderId="13" fillId="13" fontId="17" numFmtId="166" xfId="0" applyAlignment="1" applyBorder="1" applyFont="1" applyNumberFormat="1">
      <alignment horizontal="center" shrinkToFit="0" wrapText="1"/>
    </xf>
    <xf borderId="13" fillId="13" fontId="17" numFmtId="166" xfId="0" applyAlignment="1" applyBorder="1" applyFont="1" applyNumberFormat="1">
      <alignment horizontal="center" readingOrder="0" shrinkToFit="0" wrapText="1"/>
    </xf>
    <xf borderId="13" fillId="13" fontId="17" numFmtId="166" xfId="0" applyAlignment="1" applyBorder="1" applyFont="1" applyNumberFormat="1">
      <alignment horizontal="left" readingOrder="0" shrinkToFit="0" wrapText="1"/>
    </xf>
    <xf borderId="13" fillId="14" fontId="18" numFmtId="0" xfId="0" applyAlignment="1" applyBorder="1" applyFill="1" applyFont="1">
      <alignment horizontal="center" readingOrder="0" shrinkToFit="0" wrapText="1"/>
    </xf>
    <xf borderId="18" fillId="0" fontId="19" numFmtId="0" xfId="0" applyAlignment="1" applyBorder="1" applyFont="1">
      <alignment horizontal="center" readingOrder="0" shrinkToFit="0" wrapText="1"/>
    </xf>
    <xf borderId="13" fillId="0" fontId="20" numFmtId="166" xfId="0" applyAlignment="1" applyBorder="1" applyFont="1" applyNumberFormat="1">
      <alignment horizontal="center" readingOrder="0" shrinkToFit="0" wrapText="1"/>
    </xf>
    <xf borderId="13" fillId="12" fontId="20" numFmtId="0" xfId="0" applyAlignment="1" applyBorder="1" applyFont="1">
      <alignment readingOrder="0" shrinkToFit="0" wrapText="1"/>
    </xf>
    <xf borderId="19" fillId="12" fontId="20" numFmtId="0" xfId="0" applyBorder="1" applyFont="1"/>
    <xf borderId="0" fillId="0" fontId="21" numFmtId="0" xfId="0" applyAlignment="1" applyFont="1">
      <alignment readingOrder="0" vertical="center"/>
    </xf>
    <xf borderId="0" fillId="0" fontId="22" numFmtId="0" xfId="0" applyAlignment="1" applyFont="1">
      <alignment readingOrder="0"/>
    </xf>
    <xf borderId="19" fillId="14" fontId="18" numFmtId="0" xfId="0" applyAlignment="1" applyBorder="1" applyFont="1">
      <alignment horizontal="center" readingOrder="0" shrinkToFit="0" wrapText="1"/>
    </xf>
    <xf borderId="20" fillId="0" fontId="19" numFmtId="0" xfId="0" applyAlignment="1" applyBorder="1" applyFont="1">
      <alignment horizontal="center" readingOrder="0" shrinkToFit="0" wrapText="1"/>
    </xf>
    <xf borderId="19" fillId="0" fontId="20" numFmtId="166" xfId="0" applyAlignment="1" applyBorder="1" applyFont="1" applyNumberFormat="1">
      <alignment horizontal="center" readingOrder="0" shrinkToFit="0" wrapText="1"/>
    </xf>
    <xf borderId="20" fillId="0" fontId="20" numFmtId="0" xfId="0" applyAlignment="1" applyBorder="1" applyFont="1">
      <alignment readingOrder="0" shrinkToFit="0" wrapText="1"/>
    </xf>
    <xf borderId="19" fillId="12" fontId="23" numFmtId="0" xfId="0" applyAlignment="1" applyBorder="1" applyFont="1">
      <alignment readingOrder="0"/>
    </xf>
    <xf borderId="21" fillId="0" fontId="7" numFmtId="0" xfId="0" applyBorder="1" applyFont="1"/>
    <xf borderId="22" fillId="0" fontId="7" numFmtId="0" xfId="0" applyBorder="1" applyFont="1"/>
    <xf borderId="21" fillId="12" fontId="24" numFmtId="0" xfId="0" applyAlignment="1" applyBorder="1" applyFont="1">
      <alignment readingOrder="0"/>
    </xf>
    <xf borderId="14" fillId="0" fontId="7" numFmtId="0" xfId="0" applyBorder="1" applyFont="1"/>
    <xf borderId="23" fillId="0" fontId="7" numFmtId="0" xfId="0" applyBorder="1" applyFont="1"/>
    <xf borderId="21" fillId="12" fontId="25" numFmtId="0" xfId="0" applyAlignment="1" applyBorder="1" applyFont="1">
      <alignment readingOrder="0"/>
    </xf>
    <xf borderId="13" fillId="12" fontId="20" numFmtId="166" xfId="0" applyAlignment="1" applyBorder="1" applyFont="1" applyNumberFormat="1">
      <alignment readingOrder="0" shrinkToFit="0" wrapText="1"/>
    </xf>
    <xf borderId="24" fillId="0" fontId="26" numFmtId="0" xfId="0" applyAlignment="1" applyBorder="1" applyFont="1">
      <alignment readingOrder="0"/>
    </xf>
    <xf borderId="20" fillId="0" fontId="20" numFmtId="166" xfId="0" applyAlignment="1" applyBorder="1" applyFont="1" applyNumberFormat="1">
      <alignment readingOrder="0" shrinkToFit="0" wrapText="1"/>
    </xf>
    <xf borderId="21" fillId="12" fontId="27" numFmtId="0" xfId="0" applyAlignment="1" applyBorder="1" applyFont="1">
      <alignment readingOrder="0" vertical="top"/>
    </xf>
    <xf borderId="20" fillId="0" fontId="20" numFmtId="166" xfId="0" applyAlignment="1" applyBorder="1" applyFont="1" applyNumberFormat="1">
      <alignment readingOrder="0" shrinkToFit="0" vertical="bottom" wrapText="1"/>
    </xf>
    <xf borderId="19" fillId="0" fontId="28" numFmtId="0" xfId="0" applyAlignment="1" applyBorder="1" applyFont="1">
      <alignment shrinkToFit="0" wrapText="1"/>
    </xf>
    <xf borderId="21" fillId="0" fontId="29" numFmtId="0" xfId="0" applyAlignment="1" applyBorder="1" applyFont="1">
      <alignment readingOrder="0"/>
    </xf>
    <xf borderId="14" fillId="12" fontId="30" numFmtId="0" xfId="0" applyAlignment="1" applyBorder="1" applyFont="1">
      <alignment readingOrder="0"/>
    </xf>
    <xf borderId="19" fillId="12" fontId="20" numFmtId="166" xfId="0" applyAlignment="1" applyBorder="1" applyFont="1" applyNumberFormat="1">
      <alignment readingOrder="0" shrinkToFit="0" wrapText="1"/>
    </xf>
    <xf borderId="25" fillId="12" fontId="31" numFmtId="0" xfId="0" applyAlignment="1" applyBorder="1" applyFont="1">
      <alignment readingOrder="0" vertical="top"/>
    </xf>
    <xf borderId="13" fillId="14" fontId="18" numFmtId="166" xfId="0" applyAlignment="1" applyBorder="1" applyFont="1" applyNumberFormat="1">
      <alignment horizontal="center" shrinkToFit="0" wrapText="1"/>
    </xf>
    <xf borderId="13" fillId="0" fontId="20" numFmtId="0" xfId="0" applyAlignment="1" applyBorder="1" applyFont="1">
      <alignment horizontal="center" readingOrder="0" shrinkToFit="0" wrapText="1"/>
    </xf>
    <xf borderId="0" fillId="7" fontId="20" numFmtId="166" xfId="0" applyAlignment="1" applyFont="1" applyNumberFormat="1">
      <alignment shrinkToFit="0" vertical="bottom" wrapText="1"/>
    </xf>
    <xf borderId="13" fillId="7" fontId="32" numFmtId="0" xfId="0" applyAlignment="1" applyBorder="1" applyFont="1">
      <alignment readingOrder="0" vertical="bottom"/>
    </xf>
    <xf borderId="13" fillId="12" fontId="20" numFmtId="166" xfId="0" applyAlignment="1" applyBorder="1" applyFont="1" applyNumberFormat="1">
      <alignment readingOrder="0" shrinkToFit="0" wrapText="1"/>
    </xf>
    <xf borderId="13" fillId="12" fontId="33" numFmtId="0" xfId="0" applyAlignment="1" applyBorder="1" applyFont="1">
      <alignment readingOrder="0"/>
    </xf>
    <xf borderId="13" fillId="12" fontId="20" numFmtId="0" xfId="0" applyAlignment="1" applyBorder="1" applyFont="1">
      <alignment horizontal="left" readingOrder="0" shrinkToFit="0" wrapText="1"/>
    </xf>
    <xf borderId="13" fillId="12" fontId="20" numFmtId="0" xfId="0" applyBorder="1" applyFont="1"/>
    <xf borderId="0" fillId="0" fontId="22" numFmtId="0" xfId="0" applyAlignment="1" applyFont="1">
      <alignment readingOrder="0" shrinkToFit="0" wrapText="1"/>
    </xf>
    <xf borderId="0" fillId="0" fontId="34" numFmtId="0" xfId="0" applyAlignment="1" applyFont="1">
      <alignment readingOrder="0"/>
    </xf>
    <xf borderId="0" fillId="13" fontId="35" numFmtId="0" xfId="0" applyAlignment="1" applyFont="1">
      <alignment horizontal="center" readingOrder="0" shrinkToFit="0" vertical="center" wrapText="1"/>
    </xf>
    <xf borderId="0" fillId="15" fontId="36" numFmtId="0" xfId="0" applyAlignment="1" applyFill="1" applyFont="1">
      <alignment horizontal="left" readingOrder="0"/>
    </xf>
    <xf borderId="0" fillId="15" fontId="37" numFmtId="0" xfId="0" applyAlignment="1" applyFont="1">
      <alignment horizontal="left" readingOrder="0"/>
    </xf>
    <xf borderId="0" fillId="15" fontId="38" numFmtId="0" xfId="0" applyAlignment="1" applyFont="1">
      <alignment horizontal="center" readingOrder="0"/>
    </xf>
    <xf borderId="0" fillId="0" fontId="20" numFmtId="0" xfId="0" applyAlignment="1" applyFont="1">
      <alignment readingOrder="0" shrinkToFit="0" vertical="bottom" wrapText="1"/>
    </xf>
    <xf borderId="0" fillId="0" fontId="20" numFmtId="0" xfId="0" applyAlignment="1" applyFont="1">
      <alignment readingOrder="0"/>
    </xf>
    <xf borderId="0" fillId="0" fontId="20" numFmtId="0" xfId="0" applyFont="1"/>
    <xf borderId="0" fillId="15" fontId="20" numFmtId="0" xfId="0" applyFont="1"/>
    <xf borderId="0" fillId="15" fontId="20" numFmtId="0" xfId="0" applyAlignment="1" applyFont="1">
      <alignment readingOrder="0"/>
    </xf>
    <xf borderId="0" fillId="0" fontId="39" numFmtId="0" xfId="0" applyAlignment="1" applyFont="1">
      <alignment readingOrder="0" shrinkToFit="0" vertical="bottom" wrapText="1"/>
    </xf>
    <xf borderId="0" fillId="12" fontId="40" numFmtId="0" xfId="0" applyAlignment="1" applyFont="1">
      <alignment horizontal="left" readingOrder="0" vertical="bottom"/>
    </xf>
    <xf borderId="0" fillId="0" fontId="41" numFmtId="0" xfId="0" applyAlignment="1" applyFont="1">
      <alignment readingOrder="0"/>
    </xf>
    <xf borderId="0" fillId="0" fontId="20" numFmtId="0" xfId="0" applyAlignment="1" applyFont="1">
      <alignment readingOrder="0" vertical="bottom"/>
    </xf>
    <xf borderId="0" fillId="0" fontId="42" numFmtId="0" xfId="0" applyAlignment="1" applyFont="1">
      <alignment readingOrder="0" vertical="bottom"/>
    </xf>
    <xf borderId="0" fillId="12" fontId="43" numFmtId="0" xfId="0" applyAlignment="1" applyFont="1">
      <alignment readingOrder="0" vertical="bottom"/>
    </xf>
    <xf borderId="0" fillId="15" fontId="20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16" fontId="12" numFmtId="0" xfId="0" applyAlignment="1" applyFill="1" applyFont="1">
      <alignment horizontal="left" readingOrder="0"/>
    </xf>
    <xf borderId="0" fillId="16" fontId="37" numFmtId="0" xfId="0" applyAlignment="1" applyFont="1">
      <alignment horizontal="left" readingOrder="0"/>
    </xf>
    <xf borderId="0" fillId="16" fontId="38" numFmtId="0" xfId="0" applyAlignment="1" applyFont="1">
      <alignment horizontal="center" readingOrder="0"/>
    </xf>
    <xf borderId="0" fillId="0" fontId="44" numFmtId="0" xfId="0" applyAlignment="1" applyFont="1">
      <alignment readingOrder="0" vertical="bottom"/>
    </xf>
    <xf borderId="0" fillId="0" fontId="45" numFmtId="0" xfId="0" applyAlignment="1" applyFont="1">
      <alignment readingOrder="0" vertical="bottom"/>
    </xf>
    <xf borderId="0" fillId="0" fontId="46" numFmtId="0" xfId="0" applyAlignment="1" applyFont="1">
      <alignment readingOrder="0" vertical="bottom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 vertical="bottom"/>
    </xf>
    <xf borderId="0" fillId="16" fontId="38" numFmtId="0" xfId="0" applyAlignment="1" applyFont="1">
      <alignment horizontal="left" readingOrder="0"/>
    </xf>
    <xf borderId="0" fillId="0" fontId="20" numFmtId="0" xfId="0" applyAlignment="1" applyFont="1">
      <alignment shrinkToFit="0" vertical="bottom" wrapText="1"/>
    </xf>
    <xf borderId="0" fillId="16" fontId="20" numFmtId="0" xfId="0" applyAlignment="1" applyFont="1">
      <alignment shrinkToFit="0" vertical="bottom" wrapText="1"/>
    </xf>
    <xf borderId="0" fillId="15" fontId="12" numFmtId="0" xfId="0" applyAlignment="1" applyFont="1">
      <alignment horizontal="left" readingOrder="0"/>
    </xf>
    <xf borderId="0" fillId="0" fontId="49" numFmtId="0" xfId="0" applyAlignment="1" applyFont="1">
      <alignment readingOrder="0"/>
    </xf>
    <xf borderId="0" fillId="0" fontId="20" numFmtId="0" xfId="0" applyAlignment="1" applyFont="1">
      <alignment readingOrder="0" shrinkToFit="0" wrapText="1"/>
    </xf>
    <xf borderId="0" fillId="17" fontId="50" numFmtId="0" xfId="0" applyAlignment="1" applyFill="1" applyFont="1">
      <alignment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12" fontId="51" numFmtId="0" xfId="0" applyAlignment="1" applyFont="1">
      <alignment readingOrder="0"/>
    </xf>
    <xf borderId="0" fillId="7" fontId="20" numFmtId="0" xfId="0" applyAlignment="1" applyFont="1">
      <alignment horizontal="left" readingOrder="0" shrinkToFit="0" wrapText="1"/>
    </xf>
    <xf borderId="0" fillId="0" fontId="4" numFmtId="0" xfId="0" applyFont="1"/>
    <xf borderId="0" fillId="0" fontId="52" numFmtId="0" xfId="0" applyAlignment="1" applyFont="1">
      <alignment readingOrder="0" shrinkToFit="0" vertical="bottom" wrapText="0"/>
    </xf>
    <xf borderId="0" fillId="18" fontId="12" numFmtId="0" xfId="0" applyAlignment="1" applyFill="1" applyFont="1">
      <alignment readingOrder="0" vertical="bottom"/>
    </xf>
    <xf borderId="0" fillId="7" fontId="53" numFmtId="0" xfId="0" applyAlignment="1" applyFont="1">
      <alignment readingOrder="0"/>
    </xf>
    <xf borderId="0" fillId="18" fontId="37" numFmtId="0" xfId="0" applyAlignment="1" applyFont="1">
      <alignment vertical="bottom"/>
    </xf>
    <xf borderId="0" fillId="18" fontId="37" numFmtId="0" xfId="0" applyAlignment="1" applyFont="1">
      <alignment horizontal="center" vertical="bottom"/>
    </xf>
    <xf borderId="0" fillId="7" fontId="20" numFmtId="0" xfId="0" applyAlignment="1" applyFont="1">
      <alignment vertical="bottom"/>
    </xf>
    <xf borderId="0" fillId="7" fontId="54" numFmtId="0" xfId="0" applyAlignment="1" applyFont="1">
      <alignment shrinkToFit="0" vertical="bottom" wrapText="1"/>
    </xf>
    <xf borderId="0" fillId="0" fontId="55" numFmtId="0" xfId="0" applyAlignment="1" applyFont="1">
      <alignment shrinkToFit="0" vertical="bottom" wrapText="1"/>
    </xf>
    <xf borderId="0" fillId="0" fontId="20" numFmtId="0" xfId="0" applyAlignment="1" applyFont="1">
      <alignment vertical="bottom"/>
    </xf>
    <xf borderId="0" fillId="7" fontId="20" numFmtId="0" xfId="0" applyAlignment="1" applyFont="1">
      <alignment vertical="bottom"/>
    </xf>
    <xf borderId="0" fillId="0" fontId="20" numFmtId="0" xfId="0" applyAlignment="1" applyFont="1">
      <alignment shrinkToFit="0" vertical="bottom" wrapText="1"/>
    </xf>
    <xf borderId="0" fillId="18" fontId="37" numFmtId="0" xfId="0" applyAlignment="1" applyFont="1">
      <alignment readingOrder="0" vertical="bottom"/>
    </xf>
    <xf borderId="0" fillId="7" fontId="20" numFmtId="0" xfId="0" applyAlignment="1" applyFont="1">
      <alignment readingOrder="0" shrinkToFit="0" vertical="bottom" wrapText="1"/>
    </xf>
    <xf borderId="0" fillId="7" fontId="20" numFmtId="0" xfId="0" applyAlignment="1" applyFont="1">
      <alignment shrinkToFit="0" vertical="bottom" wrapText="1"/>
    </xf>
    <xf borderId="0" fillId="0" fontId="4" numFmtId="0" xfId="0" applyFont="1"/>
    <xf borderId="0" fillId="18" fontId="15" numFmtId="0" xfId="0" applyFont="1"/>
    <xf borderId="0" fillId="19" fontId="12" numFmtId="0" xfId="0" applyAlignment="1" applyFill="1" applyFont="1">
      <alignment horizontal="left" readingOrder="0"/>
    </xf>
    <xf borderId="0" fillId="19" fontId="37" numFmtId="0" xfId="0" applyAlignment="1" applyFont="1">
      <alignment horizontal="left" readingOrder="0"/>
    </xf>
    <xf borderId="0" fillId="19" fontId="38" numFmtId="0" xfId="0" applyAlignment="1" applyFont="1">
      <alignment horizontal="center" readingOrder="0"/>
    </xf>
    <xf borderId="0" fillId="7" fontId="56" numFmtId="0" xfId="0" applyAlignment="1" applyFont="1">
      <alignment horizontal="left" readingOrder="0" shrinkToFit="0" wrapText="1"/>
    </xf>
    <xf borderId="0" fillId="0" fontId="57" numFmtId="0" xfId="0" applyAlignment="1" applyFont="1">
      <alignment readingOrder="0"/>
    </xf>
    <xf borderId="0" fillId="0" fontId="58" numFmtId="0" xfId="0" applyAlignment="1" applyFont="1">
      <alignment readingOrder="0"/>
    </xf>
    <xf borderId="0" fillId="12" fontId="59" numFmtId="0" xfId="0" applyAlignment="1" applyFont="1">
      <alignment readingOrder="0"/>
    </xf>
    <xf borderId="0" fillId="20" fontId="13" numFmtId="0" xfId="0" applyAlignment="1" applyFill="1" applyFont="1">
      <alignment vertical="bottom"/>
    </xf>
    <xf borderId="25" fillId="0" fontId="7" numFmtId="0" xfId="0" applyBorder="1" applyFont="1"/>
    <xf borderId="18" fillId="0" fontId="60" numFmtId="0" xfId="0" applyAlignment="1" applyBorder="1" applyFont="1">
      <alignment horizontal="center"/>
    </xf>
    <xf borderId="26" fillId="0" fontId="7" numFmtId="0" xfId="0" applyBorder="1" applyFont="1"/>
    <xf borderId="24" fillId="0" fontId="7" numFmtId="0" xfId="0" applyBorder="1" applyFont="1"/>
    <xf borderId="13" fillId="21" fontId="14" numFmtId="0" xfId="0" applyAlignment="1" applyBorder="1" applyFill="1" applyFont="1">
      <alignment horizontal="center" shrinkToFit="0" wrapText="1"/>
    </xf>
    <xf borderId="13" fillId="21" fontId="14" numFmtId="0" xfId="0" applyAlignment="1" applyBorder="1" applyFont="1">
      <alignment horizontal="center"/>
    </xf>
    <xf borderId="13" fillId="0" fontId="13" numFmtId="0" xfId="0" applyAlignment="1" applyBorder="1" applyFont="1">
      <alignment horizontal="center" readingOrder="0" shrinkToFit="0" wrapText="1"/>
    </xf>
    <xf borderId="13" fillId="0" fontId="13" numFmtId="0" xfId="0" applyAlignment="1" applyBorder="1" applyFont="1">
      <alignment horizontal="center" readingOrder="0" shrinkToFit="0" vertical="bottom" wrapText="1"/>
    </xf>
    <xf borderId="13" fillId="11" fontId="13" numFmtId="0" xfId="0" applyAlignment="1" applyBorder="1" applyFont="1">
      <alignment horizontal="center" readingOrder="0" shrinkToFit="0" wrapText="1"/>
    </xf>
    <xf borderId="13" fillId="0" fontId="13" numFmtId="0" xfId="0" applyAlignment="1" applyBorder="1" applyFont="1">
      <alignment horizontal="center" readingOrder="0"/>
    </xf>
    <xf borderId="13" fillId="0" fontId="13" numFmtId="0" xfId="0" applyAlignment="1" applyBorder="1" applyFont="1">
      <alignment horizontal="center" readingOrder="0" vertical="bottom"/>
    </xf>
    <xf borderId="13" fillId="7" fontId="13" numFmtId="0" xfId="0" applyAlignment="1" applyBorder="1" applyFont="1">
      <alignment horizontal="center" readingOrder="0" vertical="bottom"/>
    </xf>
    <xf borderId="13" fillId="0" fontId="13" numFmtId="0" xfId="0" applyBorder="1" applyFont="1"/>
    <xf borderId="13" fillId="0" fontId="13" numFmtId="0" xfId="0" applyAlignment="1" applyBorder="1" applyFont="1">
      <alignment horizontal="center"/>
    </xf>
    <xf borderId="13" fillId="0" fontId="13" numFmtId="0" xfId="0" applyAlignment="1" applyBorder="1" applyFont="1">
      <alignment horizontal="center" vertical="bottom"/>
    </xf>
    <xf borderId="19" fillId="0" fontId="13" numFmtId="0" xfId="0" applyBorder="1" applyFont="1"/>
    <xf borderId="13" fillId="0" fontId="13" numFmtId="0" xfId="0" applyAlignment="1" applyBorder="1" applyFont="1">
      <alignment readingOrder="0" vertical="bottom"/>
    </xf>
    <xf borderId="0" fillId="0" fontId="61" numFmtId="0" xfId="0" applyAlignment="1" applyFont="1">
      <alignment readingOrder="0"/>
    </xf>
    <xf borderId="0" fillId="0" fontId="62" numFmtId="49" xfId="0" applyAlignment="1" applyFont="1" applyNumberFormat="1">
      <alignment horizontal="right" readingOrder="0"/>
    </xf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horizontal="center" readingOrder="0" shrinkToFit="0" vertical="bottom" wrapText="0"/>
    </xf>
    <xf borderId="0" fillId="13" fontId="65" numFmtId="0" xfId="0" applyAlignment="1" applyFont="1">
      <alignment horizontal="center" readingOrder="0" shrinkToFit="0" vertical="bottom" wrapText="0"/>
    </xf>
    <xf borderId="0" fillId="12" fontId="15" numFmtId="0" xfId="0" applyFont="1"/>
    <xf borderId="0" fillId="0" fontId="66" numFmtId="0" xfId="0" applyAlignment="1" applyFont="1">
      <alignment horizontal="center" readingOrder="0"/>
    </xf>
    <xf borderId="0" fillId="22" fontId="66" numFmtId="0" xfId="0" applyAlignment="1" applyFill="1" applyFont="1">
      <alignment horizontal="center" readingOrder="0"/>
    </xf>
    <xf borderId="27" fillId="0" fontId="67" numFmtId="0" xfId="0" applyAlignment="1" applyBorder="1" applyFont="1">
      <alignment horizontal="center" readingOrder="0"/>
    </xf>
    <xf borderId="28" fillId="0" fontId="7" numFmtId="0" xfId="0" applyBorder="1" applyFont="1"/>
    <xf borderId="29" fillId="0" fontId="7" numFmtId="0" xfId="0" applyBorder="1" applyFont="1"/>
    <xf borderId="22" fillId="23" fontId="68" numFmtId="0" xfId="0" applyAlignment="1" applyBorder="1" applyFill="1" applyFont="1">
      <alignment horizontal="center" readingOrder="0"/>
    </xf>
    <xf borderId="21" fillId="7" fontId="68" numFmtId="0" xfId="0" applyAlignment="1" applyBorder="1" applyFont="1">
      <alignment horizontal="center" readingOrder="0"/>
    </xf>
    <xf borderId="13" fillId="0" fontId="68" numFmtId="0" xfId="0" applyAlignment="1" applyBorder="1" applyFont="1">
      <alignment horizontal="center" readingOrder="0"/>
    </xf>
    <xf borderId="19" fillId="0" fontId="69" numFmtId="0" xfId="0" applyAlignment="1" applyBorder="1" applyFont="1">
      <alignment horizontal="center" readingOrder="0" vertical="center"/>
    </xf>
    <xf borderId="19" fillId="24" fontId="13" numFmtId="0" xfId="0" applyAlignment="1" applyBorder="1" applyFill="1" applyFont="1">
      <alignment horizontal="center" readingOrder="0" vertical="center"/>
    </xf>
    <xf borderId="13" fillId="24" fontId="13" numFmtId="0" xfId="0" applyAlignment="1" applyBorder="1" applyFont="1">
      <alignment horizontal="center" readingOrder="0" vertical="center"/>
    </xf>
    <xf borderId="13" fillId="0" fontId="69" numFmtId="0" xfId="0" applyAlignment="1" applyBorder="1" applyFont="1">
      <alignment horizontal="center" readingOrder="0" vertical="center"/>
    </xf>
    <xf borderId="15" fillId="0" fontId="69" numFmtId="0" xfId="0" applyAlignment="1" applyBorder="1" applyFont="1">
      <alignment readingOrder="0" vertical="center"/>
    </xf>
    <xf borderId="15" fillId="0" fontId="13" numFmtId="0" xfId="0" applyAlignment="1" applyBorder="1" applyFont="1">
      <alignment horizontal="center" readingOrder="0" vertical="center"/>
    </xf>
    <xf borderId="15" fillId="0" fontId="69" numFmtId="0" xfId="0" applyAlignment="1" applyBorder="1" applyFont="1">
      <alignment readingOrder="0" shrinkToFit="0" vertical="center" wrapText="1"/>
    </xf>
    <xf borderId="0" fillId="0" fontId="69" numFmtId="0" xfId="0" applyAlignment="1" applyFont="1">
      <alignment readingOrder="0" vertical="center"/>
    </xf>
    <xf borderId="0" fillId="0" fontId="13" numFmtId="0" xfId="0" applyAlignment="1" applyFont="1">
      <alignment horizontal="center" readingOrder="0" vertical="center"/>
    </xf>
    <xf borderId="18" fillId="0" fontId="68" numFmtId="0" xfId="0" applyAlignment="1" applyBorder="1" applyFont="1">
      <alignment horizontal="center" readingOrder="0"/>
    </xf>
    <xf borderId="20" fillId="0" fontId="15" numFmtId="0" xfId="0" applyBorder="1" applyFont="1"/>
    <xf borderId="30" fillId="0" fontId="15" numFmtId="0" xfId="0" applyBorder="1" applyFont="1"/>
    <xf borderId="22" fillId="23" fontId="68" numFmtId="0" xfId="0" applyBorder="1" applyFont="1"/>
    <xf borderId="25" fillId="23" fontId="15" numFmtId="0" xfId="0" applyBorder="1" applyFont="1"/>
    <xf borderId="13" fillId="12" fontId="68" numFmtId="0" xfId="0" applyAlignment="1" applyBorder="1" applyFont="1">
      <alignment horizontal="center" readingOrder="0"/>
    </xf>
    <xf borderId="22" fillId="12" fontId="15" numFmtId="0" xfId="0" applyBorder="1" applyFont="1"/>
    <xf borderId="25" fillId="12" fontId="15" numFmtId="0" xfId="0" applyBorder="1" applyFont="1"/>
    <xf borderId="0" fillId="12" fontId="4" numFmtId="0" xfId="0" applyAlignment="1" applyFont="1">
      <alignment vertical="bottom"/>
    </xf>
    <xf borderId="18" fillId="0" fontId="70" numFmtId="0" xfId="0" applyAlignment="1" applyBorder="1" applyFont="1">
      <alignment readingOrder="0"/>
    </xf>
    <xf borderId="0" fillId="12" fontId="67" numFmtId="0" xfId="0" applyAlignment="1" applyFont="1">
      <alignment readingOrder="0"/>
    </xf>
    <xf borderId="0" fillId="12" fontId="71" numFmtId="0" xfId="0" applyAlignment="1" applyFont="1">
      <alignment vertical="bottom"/>
    </xf>
    <xf borderId="0" fillId="12" fontId="68" numFmtId="0" xfId="0" applyFont="1"/>
    <xf borderId="0" fillId="12" fontId="62" numFmtId="0" xfId="0" applyAlignment="1" applyFont="1">
      <alignment readingOrder="0"/>
    </xf>
    <xf borderId="22" fillId="12" fontId="13" numFmtId="0" xfId="0" applyAlignment="1" applyBorder="1" applyFont="1">
      <alignment horizontal="center" readingOrder="0" vertical="center"/>
    </xf>
    <xf borderId="0" fillId="12" fontId="72" numFmtId="0" xfId="0" applyAlignment="1" applyFont="1">
      <alignment vertical="bottom"/>
    </xf>
    <xf borderId="0" fillId="12" fontId="13" numFmtId="0" xfId="0" applyAlignment="1" applyFont="1">
      <alignment horizontal="center"/>
    </xf>
    <xf borderId="0" fillId="12" fontId="13" numFmtId="0" xfId="0" applyAlignment="1" applyFont="1">
      <alignment horizontal="center" readingOrder="0" vertical="center"/>
    </xf>
    <xf borderId="23" fillId="12" fontId="15" numFmtId="0" xfId="0" applyBorder="1" applyFont="1"/>
    <xf borderId="17" fillId="12" fontId="15" numFmtId="0" xfId="0" applyBorder="1" applyFont="1"/>
    <xf borderId="0" fillId="0" fontId="15" numFmtId="0" xfId="0" applyAlignment="1" applyFont="1">
      <alignment horizontal="center"/>
    </xf>
    <xf borderId="0" fillId="12" fontId="15" numFmtId="0" xfId="0" applyAlignment="1" applyFont="1">
      <alignment horizontal="center"/>
    </xf>
    <xf borderId="22" fillId="23" fontId="68" numFmtId="0" xfId="0" applyAlignment="1" applyBorder="1" applyFont="1">
      <alignment horizontal="center"/>
    </xf>
    <xf borderId="25" fillId="23" fontId="15" numFmtId="0" xfId="0" applyAlignment="1" applyBorder="1" applyFont="1">
      <alignment horizontal="center"/>
    </xf>
    <xf borderId="13" fillId="0" fontId="62" numFmtId="0" xfId="0" applyAlignment="1" applyBorder="1" applyFont="1">
      <alignment horizontal="center" readingOrder="0"/>
    </xf>
    <xf borderId="13" fillId="24" fontId="73" numFmtId="0" xfId="0" applyAlignment="1" applyBorder="1" applyFont="1">
      <alignment horizontal="center" readingOrder="0" vertical="center"/>
    </xf>
    <xf borderId="19" fillId="0" fontId="62" numFmtId="0" xfId="0" applyAlignment="1" applyBorder="1" applyFont="1">
      <alignment horizontal="center" readingOrder="0"/>
    </xf>
    <xf borderId="0" fillId="0" fontId="62" numFmtId="0" xfId="0" applyAlignment="1" applyFont="1">
      <alignment horizontal="center" readingOrder="0"/>
    </xf>
    <xf borderId="0" fillId="12" fontId="62" numFmtId="0" xfId="0" applyAlignment="1" applyFont="1">
      <alignment horizontal="center" readingOrder="0"/>
    </xf>
    <xf borderId="0" fillId="12" fontId="72" numFmtId="0" xfId="0" applyAlignment="1" applyFont="1">
      <alignment horizontal="center" vertical="bottom"/>
    </xf>
    <xf borderId="0" fillId="0" fontId="15" numFmtId="0" xfId="0" applyAlignment="1" applyFont="1">
      <alignment readingOrder="0"/>
    </xf>
    <xf borderId="0" fillId="25" fontId="65" numFmtId="0" xfId="0" applyAlignment="1" applyFill="1" applyFont="1">
      <alignment horizontal="center" readingOrder="0" vertical="center"/>
    </xf>
    <xf borderId="0" fillId="10" fontId="17" numFmtId="0" xfId="0" applyAlignment="1" applyFont="1">
      <alignment horizontal="center" readingOrder="0" vertical="bottom"/>
    </xf>
    <xf borderId="31" fillId="0" fontId="7" numFmtId="0" xfId="0" applyBorder="1" applyFont="1"/>
    <xf borderId="32" fillId="16" fontId="14" numFmtId="0" xfId="0" applyAlignment="1" applyBorder="1" applyFont="1">
      <alignment horizontal="left" vertical="bottom"/>
    </xf>
    <xf borderId="32" fillId="10" fontId="14" numFmtId="0" xfId="0" applyAlignment="1" applyBorder="1" applyFont="1">
      <alignment horizontal="left" vertical="bottom"/>
    </xf>
    <xf borderId="32" fillId="10" fontId="14" numFmtId="0" xfId="0" applyAlignment="1" applyBorder="1" applyFont="1">
      <alignment horizontal="left" readingOrder="0" vertical="bottom"/>
    </xf>
    <xf borderId="32" fillId="10" fontId="74" numFmtId="0" xfId="0" applyAlignment="1" applyBorder="1" applyFont="1">
      <alignment horizontal="left" readingOrder="0" vertical="bottom"/>
    </xf>
    <xf borderId="33" fillId="26" fontId="14" numFmtId="0" xfId="0" applyAlignment="1" applyBorder="1" applyFill="1" applyFont="1">
      <alignment horizontal="left" vertical="bottom"/>
    </xf>
    <xf borderId="0" fillId="16" fontId="75" numFmtId="0" xfId="0" applyAlignment="1" applyFont="1">
      <alignment horizontal="left" readingOrder="0" vertical="bottom"/>
    </xf>
    <xf borderId="0" fillId="27" fontId="75" numFmtId="0" xfId="0" applyAlignment="1" applyFill="1" applyFont="1">
      <alignment horizontal="left" readingOrder="0" vertical="bottom"/>
    </xf>
    <xf borderId="0" fillId="27" fontId="76" numFmtId="0" xfId="0" applyAlignment="1" applyFont="1">
      <alignment horizontal="left" readingOrder="0"/>
    </xf>
    <xf borderId="0" fillId="27" fontId="75" numFmtId="0" xfId="0" applyAlignment="1" applyFont="1">
      <alignment horizontal="left" vertical="bottom"/>
    </xf>
    <xf borderId="31" fillId="26" fontId="34" numFmtId="0" xfId="0" applyAlignment="1" applyBorder="1" applyFont="1">
      <alignment horizontal="left" readingOrder="0" vertical="bottom"/>
    </xf>
    <xf borderId="34" fillId="16" fontId="75" numFmtId="0" xfId="0" applyAlignment="1" applyBorder="1" applyFont="1">
      <alignment horizontal="left" readingOrder="0" vertical="bottom"/>
    </xf>
    <xf borderId="34" fillId="27" fontId="75" numFmtId="0" xfId="0" applyAlignment="1" applyBorder="1" applyFont="1">
      <alignment horizontal="left" readingOrder="0" vertical="bottom"/>
    </xf>
    <xf borderId="34" fillId="27" fontId="75" numFmtId="0" xfId="0" applyAlignment="1" applyBorder="1" applyFont="1">
      <alignment horizontal="left" vertical="bottom"/>
    </xf>
    <xf borderId="35" fillId="26" fontId="75" numFmtId="0" xfId="0" applyAlignment="1" applyBorder="1" applyFont="1">
      <alignment horizontal="left" vertical="bottom"/>
    </xf>
    <xf borderId="0" fillId="17" fontId="75" numFmtId="0" xfId="0" applyAlignment="1" applyFont="1">
      <alignment horizontal="left" readingOrder="0" vertical="bottom"/>
    </xf>
    <xf borderId="34" fillId="17" fontId="75" numFmtId="0" xfId="0" applyAlignment="1" applyBorder="1" applyFont="1">
      <alignment horizontal="left" readingOrder="0" vertical="bottom"/>
    </xf>
    <xf borderId="34" fillId="17" fontId="75" numFmtId="0" xfId="0" applyAlignment="1" applyBorder="1" applyFont="1">
      <alignment horizontal="left" vertical="bottom"/>
    </xf>
    <xf borderId="0" fillId="27" fontId="76" numFmtId="0" xfId="0" applyAlignment="1" applyFont="1">
      <alignment horizontal="left" readingOrder="0" shrinkToFit="0" wrapText="1"/>
    </xf>
    <xf borderId="34" fillId="27" fontId="75" numFmtId="0" xfId="0" applyAlignment="1" applyBorder="1" applyFont="1">
      <alignment horizontal="left" readingOrder="0" shrinkToFit="0" vertical="bottom" wrapText="1"/>
    </xf>
    <xf borderId="34" fillId="27" fontId="76" numFmtId="0" xfId="0" applyAlignment="1" applyBorder="1" applyFont="1">
      <alignment horizontal="left" readingOrder="0" shrinkToFit="0" wrapText="1"/>
    </xf>
    <xf borderId="0" fillId="27" fontId="75" numFmtId="0" xfId="0" applyAlignment="1" applyFont="1">
      <alignment horizontal="left" readingOrder="0" shrinkToFit="0" vertical="bottom" wrapText="1"/>
    </xf>
    <xf borderId="31" fillId="26" fontId="75" numFmtId="0" xfId="0" applyAlignment="1" applyBorder="1" applyFont="1">
      <alignment horizontal="left" vertical="bottom"/>
    </xf>
    <xf borderId="36" fillId="16" fontId="14" numFmtId="0" xfId="0" applyAlignment="1" applyBorder="1" applyFont="1">
      <alignment horizontal="left" vertical="bottom"/>
    </xf>
    <xf borderId="37" fillId="10" fontId="14" numFmtId="0" xfId="0" applyAlignment="1" applyBorder="1" applyFont="1">
      <alignment horizontal="left" vertical="bottom"/>
    </xf>
    <xf borderId="34" fillId="10" fontId="14" numFmtId="0" xfId="0" applyAlignment="1" applyBorder="1" applyFont="1">
      <alignment horizontal="left" readingOrder="0" vertical="bottom"/>
    </xf>
    <xf borderId="38" fillId="10" fontId="14" numFmtId="0" xfId="0" applyAlignment="1" applyBorder="1" applyFont="1">
      <alignment horizontal="left" readingOrder="0" vertical="bottom"/>
    </xf>
    <xf borderId="39" fillId="10" fontId="74" numFmtId="0" xfId="0" applyAlignment="1" applyBorder="1" applyFont="1">
      <alignment horizontal="left" readingOrder="0" vertical="bottom"/>
    </xf>
    <xf borderId="36" fillId="26" fontId="14" numFmtId="0" xfId="0" applyAlignment="1" applyBorder="1" applyFont="1">
      <alignment horizontal="left" vertical="bottom"/>
    </xf>
    <xf borderId="40" fillId="16" fontId="75" numFmtId="0" xfId="0" applyAlignment="1" applyBorder="1" applyFont="1">
      <alignment horizontal="left" readingOrder="0" vertical="bottom"/>
    </xf>
    <xf borderId="40" fillId="26" fontId="75" numFmtId="0" xfId="0" applyAlignment="1" applyBorder="1" applyFont="1">
      <alignment horizontal="left" readingOrder="0" vertical="bottom"/>
    </xf>
    <xf borderId="41" fillId="16" fontId="75" numFmtId="0" xfId="0" applyAlignment="1" applyBorder="1" applyFont="1">
      <alignment horizontal="left" readingOrder="0" vertical="bottom"/>
    </xf>
    <xf borderId="41" fillId="26" fontId="75" numFmtId="0" xfId="0" applyAlignment="1" applyBorder="1" applyFont="1">
      <alignment horizontal="left" vertical="bottom"/>
    </xf>
    <xf borderId="0" fillId="17" fontId="75" numFmtId="0" xfId="0" applyAlignment="1" applyFont="1">
      <alignment horizontal="left" vertical="bottom"/>
    </xf>
    <xf borderId="42" fillId="28" fontId="75" numFmtId="0" xfId="0" applyAlignment="1" applyBorder="1" applyFill="1" applyFont="1">
      <alignment horizontal="left" readingOrder="0" vertical="bottom"/>
    </xf>
    <xf borderId="43" fillId="28" fontId="75" numFmtId="0" xfId="0" applyAlignment="1" applyBorder="1" applyFont="1">
      <alignment horizontal="left" readingOrder="0" vertical="bottom"/>
    </xf>
    <xf borderId="44" fillId="28" fontId="75" numFmtId="0" xfId="0" applyAlignment="1" applyBorder="1" applyFont="1">
      <alignment horizontal="left" readingOrder="0" vertical="bottom"/>
    </xf>
    <xf borderId="45" fillId="28" fontId="75" numFmtId="0" xfId="0" applyAlignment="1" applyBorder="1" applyFont="1">
      <alignment horizontal="left" readingOrder="0" vertical="bottom"/>
    </xf>
    <xf borderId="34" fillId="28" fontId="75" numFmtId="0" xfId="0" applyAlignment="1" applyBorder="1" applyFont="1">
      <alignment horizontal="left" readingOrder="0" vertical="bottom"/>
    </xf>
    <xf borderId="34" fillId="28" fontId="75" numFmtId="0" xfId="0" applyAlignment="1" applyBorder="1" applyFont="1">
      <alignment horizontal="left" vertical="bottom"/>
    </xf>
    <xf borderId="46" fillId="28" fontId="75" numFmtId="0" xfId="0" applyAlignment="1" applyBorder="1" applyFont="1">
      <alignment horizontal="left" readingOrder="0" vertical="bottom"/>
    </xf>
    <xf borderId="40" fillId="26" fontId="75" numFmtId="0" xfId="0" applyAlignment="1" applyBorder="1" applyFont="1">
      <alignment horizontal="left" vertical="bottom"/>
    </xf>
    <xf borderId="47" fillId="16" fontId="75" numFmtId="0" xfId="0" applyAlignment="1" applyBorder="1" applyFont="1">
      <alignment horizontal="left" readingOrder="0" vertical="bottom"/>
    </xf>
    <xf borderId="43" fillId="17" fontId="75" numFmtId="0" xfId="0" applyAlignment="1" applyBorder="1" applyFont="1">
      <alignment horizontal="left" readingOrder="0" vertical="bottom"/>
    </xf>
    <xf borderId="47" fillId="26" fontId="75" numFmtId="0" xfId="0" applyAlignment="1" applyBorder="1" applyFont="1">
      <alignment horizontal="left" readingOrder="0" vertical="bottom"/>
    </xf>
    <xf borderId="0" fillId="28" fontId="75" numFmtId="0" xfId="0" applyAlignment="1" applyFont="1">
      <alignment horizontal="left" readingOrder="0" vertical="bottom"/>
    </xf>
    <xf borderId="0" fillId="28" fontId="76" numFmtId="0" xfId="0" applyAlignment="1" applyFont="1">
      <alignment horizontal="left" readingOrder="0"/>
    </xf>
    <xf borderId="0" fillId="28" fontId="76" numFmtId="0" xfId="0" applyAlignment="1" applyFont="1">
      <alignment horizontal="left" readingOrder="0" shrinkToFit="0" wrapText="1"/>
    </xf>
    <xf borderId="48" fillId="28" fontId="75" numFmtId="0" xfId="0" applyAlignment="1" applyBorder="1" applyFont="1">
      <alignment horizontal="left" readingOrder="0" vertical="bottom"/>
    </xf>
    <xf borderId="48" fillId="28" fontId="75" numFmtId="0" xfId="0" applyAlignment="1" applyBorder="1" applyFont="1">
      <alignment horizontal="left" readingOrder="0" shrinkToFit="0" vertical="bottom" wrapText="1"/>
    </xf>
    <xf borderId="48" fillId="28" fontId="76" numFmtId="0" xfId="0" applyAlignment="1" applyBorder="1" applyFont="1">
      <alignment horizontal="left" readingOrder="0" shrinkToFit="0" wrapText="1"/>
    </xf>
    <xf borderId="0" fillId="25" fontId="77" numFmtId="0" xfId="0" applyAlignment="1" applyFont="1">
      <alignment horizontal="center" readingOrder="0" vertical="center"/>
    </xf>
    <xf borderId="49" fillId="10" fontId="17" numFmtId="0" xfId="0" applyAlignment="1" applyBorder="1" applyFont="1">
      <alignment horizontal="center" readingOrder="0" vertical="bottom"/>
    </xf>
    <xf borderId="49" fillId="0" fontId="7" numFmtId="0" xfId="0" applyBorder="1" applyFont="1"/>
    <xf borderId="50" fillId="0" fontId="7" numFmtId="0" xfId="0" applyBorder="1" applyFont="1"/>
    <xf borderId="31" fillId="10" fontId="17" numFmtId="0" xfId="0" applyAlignment="1" applyBorder="1" applyFont="1">
      <alignment horizontal="center" readingOrder="0" vertical="bottom"/>
    </xf>
    <xf borderId="32" fillId="10" fontId="14" numFmtId="0" xfId="0" applyAlignment="1" applyBorder="1" applyFont="1">
      <alignment horizontal="center" readingOrder="0" vertical="bottom"/>
    </xf>
    <xf borderId="32" fillId="10" fontId="78" numFmtId="0" xfId="0" applyAlignment="1" applyBorder="1" applyFont="1">
      <alignment horizontal="center" readingOrder="0" vertical="bottom"/>
    </xf>
    <xf borderId="32" fillId="10" fontId="78" numFmtId="0" xfId="0" applyAlignment="1" applyBorder="1" applyFont="1">
      <alignment horizontal="left" readingOrder="0" vertical="bottom"/>
    </xf>
    <xf borderId="0" fillId="16" fontId="13" numFmtId="0" xfId="0" applyAlignment="1" applyFont="1">
      <alignment horizontal="left" readingOrder="0" vertical="bottom"/>
    </xf>
    <xf borderId="0" fillId="17" fontId="13" numFmtId="0" xfId="0" applyAlignment="1" applyFont="1">
      <alignment horizontal="left" readingOrder="0" vertical="bottom"/>
    </xf>
    <xf borderId="0" fillId="17" fontId="76" numFmtId="0" xfId="0" applyAlignment="1" applyFont="1">
      <alignment horizontal="left" readingOrder="0"/>
    </xf>
    <xf borderId="0" fillId="17" fontId="13" numFmtId="0" xfId="0" applyAlignment="1" applyFont="1">
      <alignment horizontal="center" readingOrder="0" vertical="bottom"/>
    </xf>
    <xf borderId="31" fillId="26" fontId="13" numFmtId="0" xfId="0" applyAlignment="1" applyBorder="1" applyFont="1">
      <alignment horizontal="left" readingOrder="0" vertical="bottom"/>
    </xf>
    <xf borderId="31" fillId="26" fontId="13" numFmtId="0" xfId="0" applyAlignment="1" applyBorder="1" applyFont="1">
      <alignment horizontal="left" vertical="bottom"/>
    </xf>
    <xf borderId="51" fillId="10" fontId="17" numFmtId="0" xfId="0" applyAlignment="1" applyBorder="1" applyFont="1">
      <alignment horizontal="center" readingOrder="0" vertical="bottom"/>
    </xf>
    <xf borderId="51" fillId="0" fontId="7" numFmtId="0" xfId="0" applyBorder="1" applyFont="1"/>
    <xf borderId="52" fillId="0" fontId="7" numFmtId="0" xfId="0" applyBorder="1" applyFont="1"/>
    <xf borderId="39" fillId="10" fontId="14" numFmtId="0" xfId="0" applyAlignment="1" applyBorder="1" applyFont="1">
      <alignment horizontal="left" vertical="bottom"/>
    </xf>
    <xf borderId="37" fillId="0" fontId="7" numFmtId="0" xfId="0" applyBorder="1" applyFont="1"/>
    <xf borderId="38" fillId="0" fontId="7" numFmtId="0" xfId="0" applyBorder="1" applyFont="1"/>
    <xf borderId="13" fillId="10" fontId="14" numFmtId="0" xfId="0" applyAlignment="1" applyBorder="1" applyFont="1">
      <alignment horizontal="left" vertical="bottom"/>
    </xf>
    <xf borderId="13" fillId="10" fontId="74" numFmtId="0" xfId="0" applyAlignment="1" applyBorder="1" applyFont="1">
      <alignment horizontal="center" readingOrder="0" vertical="bottom"/>
    </xf>
    <xf borderId="39" fillId="10" fontId="14" numFmtId="0" xfId="0" applyAlignment="1" applyBorder="1" applyFont="1">
      <alignment horizontal="left" readingOrder="0" vertical="bottom"/>
    </xf>
    <xf borderId="0" fillId="27" fontId="13" numFmtId="0" xfId="0" applyAlignment="1" applyFont="1">
      <alignment horizontal="left" vertical="bottom"/>
    </xf>
    <xf borderId="0" fillId="29" fontId="13" numFmtId="0" xfId="0" applyAlignment="1" applyFill="1" applyFont="1">
      <alignment horizontal="center" readingOrder="0" vertical="bottom"/>
    </xf>
    <xf borderId="0" fillId="23" fontId="13" numFmtId="0" xfId="0" applyAlignment="1" applyFont="1">
      <alignment horizontal="left" readingOrder="0" vertical="bottom"/>
    </xf>
    <xf borderId="0" fillId="23" fontId="76" numFmtId="0" xfId="0" applyAlignment="1" applyFont="1">
      <alignment horizontal="left" readingOrder="0"/>
    </xf>
    <xf borderId="0" fillId="23" fontId="13" numFmtId="0" xfId="0" applyAlignment="1" applyFont="1">
      <alignment horizontal="center" readingOrder="0" vertical="bottom"/>
    </xf>
    <xf borderId="0" fillId="27" fontId="13" numFmtId="0" xfId="0" applyAlignment="1" applyFont="1">
      <alignment horizontal="left" readingOrder="0" vertical="bottom"/>
    </xf>
    <xf borderId="0" fillId="30" fontId="13" numFmtId="0" xfId="0" applyAlignment="1" applyFill="1" applyFont="1">
      <alignment horizontal="center" readingOrder="0" vertical="bottom"/>
    </xf>
    <xf borderId="0" fillId="31" fontId="13" numFmtId="0" xfId="0" applyAlignment="1" applyFill="1" applyFont="1">
      <alignment horizontal="center" readingOrder="0" vertical="bottom"/>
    </xf>
    <xf borderId="0" fillId="32" fontId="13" numFmtId="0" xfId="0" applyAlignment="1" applyFill="1" applyFont="1">
      <alignment horizontal="center" readingOrder="0" vertical="bottom"/>
    </xf>
    <xf borderId="0" fillId="23" fontId="13" numFmtId="0" xfId="0" applyAlignment="1" applyFont="1">
      <alignment horizontal="left" vertical="bottom"/>
    </xf>
    <xf borderId="0" fillId="7" fontId="13" numFmtId="0" xfId="0" applyAlignment="1" applyFont="1">
      <alignment horizontal="center" readingOrder="0" vertical="bottom"/>
    </xf>
    <xf borderId="0" fillId="33" fontId="13" numFmtId="0" xfId="0" applyAlignment="1" applyFill="1" applyFont="1">
      <alignment horizontal="center" readingOrder="0" vertical="bottom"/>
    </xf>
    <xf borderId="43" fillId="16" fontId="13" numFmtId="0" xfId="0" applyAlignment="1" applyBorder="1" applyFont="1">
      <alignment horizontal="left" readingOrder="0" vertical="bottom"/>
    </xf>
    <xf borderId="43" fillId="27" fontId="13" numFmtId="0" xfId="0" applyAlignment="1" applyBorder="1" applyFont="1">
      <alignment horizontal="left" readingOrder="0" vertical="bottom"/>
    </xf>
    <xf borderId="43" fillId="27" fontId="76" numFmtId="0" xfId="0" applyAlignment="1" applyBorder="1" applyFont="1">
      <alignment horizontal="left" readingOrder="0"/>
    </xf>
    <xf borderId="43" fillId="29" fontId="13" numFmtId="0" xfId="0" applyAlignment="1" applyBorder="1" applyFont="1">
      <alignment horizontal="center" readingOrder="0" vertical="bottom"/>
    </xf>
    <xf borderId="0" fillId="16" fontId="13" numFmtId="0" xfId="0" applyAlignment="1" applyFont="1">
      <alignment horizontal="left" readingOrder="0" shrinkToFit="0" vertical="bottom" wrapText="1"/>
    </xf>
    <xf borderId="0" fillId="17" fontId="13" numFmtId="0" xfId="0" applyAlignment="1" applyFont="1">
      <alignment readingOrder="0"/>
    </xf>
    <xf borderId="0" fillId="17" fontId="13" numFmtId="0" xfId="0" applyFont="1"/>
    <xf borderId="0" fillId="17" fontId="13" numFmtId="0" xfId="0" applyAlignment="1" applyFont="1">
      <alignment horizontal="center" vertical="bottom"/>
    </xf>
    <xf borderId="32" fillId="16" fontId="74" numFmtId="0" xfId="0" applyAlignment="1" applyBorder="1" applyFont="1">
      <alignment horizontal="left" readingOrder="0" vertical="bottom"/>
    </xf>
    <xf borderId="0" fillId="27" fontId="75" numFmtId="0" xfId="0" applyAlignment="1" applyFont="1">
      <alignment horizontal="center" readingOrder="0" vertical="bottom"/>
    </xf>
    <xf borderId="0" fillId="27" fontId="13" numFmtId="0" xfId="0" applyAlignment="1" applyFont="1">
      <alignment horizontal="center" readingOrder="0" vertical="bottom"/>
    </xf>
    <xf borderId="0" fillId="17" fontId="75" numFmtId="0" xfId="0" applyAlignment="1" applyFont="1">
      <alignment horizontal="left" readingOrder="0" shrinkToFit="0" vertical="bottom" wrapText="1"/>
    </xf>
    <xf borderId="0" fillId="17" fontId="76" numFmtId="0" xfId="0" applyAlignment="1" applyFont="1">
      <alignment horizontal="center" readingOrder="0" shrinkToFit="0" wrapText="1"/>
    </xf>
    <xf borderId="0" fillId="17" fontId="75" numFmtId="0" xfId="0" applyAlignment="1" applyFont="1">
      <alignment horizontal="center" readingOrder="0" vertical="bottom"/>
    </xf>
    <xf borderId="31" fillId="26" fontId="75" numFmtId="0" xfId="0" applyAlignment="1" applyBorder="1" applyFont="1">
      <alignment horizontal="left" readingOrder="0" vertical="bottom"/>
    </xf>
    <xf borderId="48" fillId="16" fontId="13" numFmtId="0" xfId="0" applyAlignment="1" applyBorder="1" applyFont="1">
      <alignment horizontal="left" readingOrder="0" vertical="bottom"/>
    </xf>
    <xf borderId="48" fillId="17" fontId="75" numFmtId="0" xfId="0" applyAlignment="1" applyBorder="1" applyFont="1">
      <alignment horizontal="left" readingOrder="0" vertical="bottom"/>
    </xf>
    <xf borderId="48" fillId="17" fontId="13" numFmtId="0" xfId="0" applyAlignment="1" applyBorder="1" applyFont="1">
      <alignment horizontal="left" readingOrder="0" vertical="bottom"/>
    </xf>
    <xf borderId="48" fillId="17" fontId="13" numFmtId="0" xfId="0" applyAlignment="1" applyBorder="1" applyFont="1">
      <alignment horizontal="left" readingOrder="0" shrinkToFit="0" vertical="bottom" wrapText="1"/>
    </xf>
    <xf borderId="48" fillId="17" fontId="76" numFmtId="0" xfId="0" applyAlignment="1" applyBorder="1" applyFont="1">
      <alignment horizontal="center" readingOrder="0" shrinkToFit="0" wrapText="1"/>
    </xf>
    <xf borderId="48" fillId="17" fontId="13" numFmtId="0" xfId="0" applyAlignment="1" applyBorder="1" applyFont="1">
      <alignment horizontal="center" readingOrder="0" vertical="bottom"/>
    </xf>
    <xf borderId="48" fillId="17" fontId="75" numFmtId="0" xfId="0" applyAlignment="1" applyBorder="1" applyFont="1">
      <alignment horizontal="center" readingOrder="0" vertical="bottom"/>
    </xf>
    <xf borderId="53" fillId="26" fontId="13" numFmtId="0" xfId="0" applyAlignment="1" applyBorder="1" applyFont="1">
      <alignment horizontal="left" vertical="bottom"/>
    </xf>
    <xf borderId="18" fillId="0" fontId="79" numFmtId="0" xfId="0" applyAlignment="1" applyBorder="1" applyFont="1">
      <alignment readingOrder="0" vertical="bottom"/>
    </xf>
    <xf borderId="18" fillId="7" fontId="79" numFmtId="0" xfId="0" applyAlignment="1" applyBorder="1" applyFont="1">
      <alignment readingOrder="0"/>
    </xf>
    <xf borderId="18" fillId="7" fontId="79" numFmtId="0" xfId="0" applyAlignment="1" applyBorder="1" applyFont="1">
      <alignment readingOrder="0" vertical="bottom"/>
    </xf>
    <xf borderId="18" fillId="25" fontId="6" numFmtId="49" xfId="0" applyAlignment="1" applyBorder="1" applyFont="1" applyNumberFormat="1">
      <alignment horizontal="center" readingOrder="0" vertical="bottom"/>
    </xf>
    <xf borderId="13" fillId="25" fontId="6" numFmtId="49" xfId="0" applyAlignment="1" applyBorder="1" applyFont="1" applyNumberFormat="1">
      <alignment horizontal="center" readingOrder="0" vertical="bottom"/>
    </xf>
    <xf borderId="0" fillId="0" fontId="6" numFmtId="49" xfId="0" applyAlignment="1" applyFont="1" applyNumberFormat="1">
      <alignment horizontal="center" vertical="bottom"/>
    </xf>
    <xf borderId="13" fillId="7" fontId="8" numFmtId="167" xfId="0" applyAlignment="1" applyBorder="1" applyFont="1" applyNumberFormat="1">
      <alignment horizontal="center" shrinkToFit="0" wrapText="1"/>
    </xf>
    <xf borderId="18" fillId="7" fontId="8" numFmtId="167" xfId="0" applyAlignment="1" applyBorder="1" applyFont="1" applyNumberFormat="1">
      <alignment horizontal="center" shrinkToFit="0" wrapText="1"/>
    </xf>
    <xf borderId="54" fillId="7" fontId="8" numFmtId="0" xfId="0" applyAlignment="1" applyBorder="1" applyFont="1">
      <alignment horizontal="center" shrinkToFit="0" wrapText="1"/>
    </xf>
    <xf borderId="13" fillId="7" fontId="8" numFmtId="0" xfId="0" applyAlignment="1" applyBorder="1" applyFont="1">
      <alignment horizontal="center" shrinkToFit="0" wrapText="1"/>
    </xf>
    <xf borderId="13" fillId="0" fontId="8" numFmtId="0" xfId="0" applyAlignment="1" applyBorder="1" applyFont="1">
      <alignment horizontal="center" shrinkToFit="0" wrapText="1"/>
    </xf>
    <xf borderId="13" fillId="0" fontId="8" numFmtId="0" xfId="0" applyAlignment="1" applyBorder="1" applyFont="1">
      <alignment horizontal="center" readingOrder="0" shrinkToFit="0" wrapText="1"/>
    </xf>
    <xf borderId="13" fillId="34" fontId="80" numFmtId="0" xfId="0" applyAlignment="1" applyBorder="1" applyFill="1" applyFont="1">
      <alignment horizontal="center" readingOrder="0" shrinkToFit="0" vertical="center" wrapText="1"/>
    </xf>
    <xf borderId="13" fillId="18" fontId="80" numFmtId="0" xfId="0" applyAlignment="1" applyBorder="1" applyFont="1">
      <alignment horizontal="center" readingOrder="0" shrinkToFit="0" vertical="center" wrapText="1"/>
    </xf>
    <xf borderId="13" fillId="17" fontId="80" numFmtId="0" xfId="0" applyAlignment="1" applyBorder="1" applyFont="1">
      <alignment horizontal="center" readingOrder="0" shrinkToFit="0" vertical="center" wrapText="1"/>
    </xf>
    <xf borderId="13" fillId="35" fontId="80" numFmtId="0" xfId="0" applyAlignment="1" applyBorder="1" applyFill="1" applyFont="1">
      <alignment horizontal="center" readingOrder="0" shrinkToFit="0" vertical="center" wrapText="1"/>
    </xf>
    <xf borderId="13" fillId="0" fontId="80" numFmtId="0" xfId="0" applyAlignment="1" applyBorder="1" applyFont="1">
      <alignment horizontal="center" readingOrder="0" shrinkToFit="0" vertical="center" wrapText="1"/>
    </xf>
    <xf borderId="18" fillId="0" fontId="80" numFmtId="0" xfId="0" applyAlignment="1" applyBorder="1" applyFont="1">
      <alignment horizontal="center" shrinkToFit="0" vertical="center" wrapText="1"/>
    </xf>
    <xf borderId="54" fillId="0" fontId="80" numFmtId="0" xfId="0" applyAlignment="1" applyBorder="1" applyFont="1">
      <alignment horizontal="center" shrinkToFit="0" vertical="center" wrapText="1"/>
    </xf>
    <xf borderId="13" fillId="0" fontId="8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top" wrapText="1"/>
    </xf>
    <xf borderId="0" fillId="7" fontId="79" numFmtId="0" xfId="0" applyAlignment="1" applyFont="1">
      <alignment readingOrder="0" vertical="bottom"/>
    </xf>
    <xf borderId="0" fillId="7" fontId="79" numFmtId="0" xfId="0" applyAlignment="1" applyFont="1">
      <alignment readingOrder="0"/>
    </xf>
    <xf borderId="55" fillId="0" fontId="6" numFmtId="49" xfId="0" applyAlignment="1" applyBorder="1" applyFont="1" applyNumberFormat="1">
      <alignment horizontal="center" readingOrder="0" vertical="bottom"/>
    </xf>
    <xf borderId="0" fillId="0" fontId="6" numFmtId="49" xfId="0" applyAlignment="1" applyFont="1" applyNumberFormat="1">
      <alignment horizontal="center" readingOrder="0" vertical="bottom"/>
    </xf>
    <xf borderId="13" fillId="7" fontId="8" numFmtId="0" xfId="0" applyAlignment="1" applyBorder="1" applyFont="1">
      <alignment horizontal="center" readingOrder="0" shrinkToFit="0" wrapText="1"/>
    </xf>
    <xf borderId="18" fillId="7" fontId="8" numFmtId="0" xfId="0" applyAlignment="1" applyBorder="1" applyFont="1">
      <alignment horizontal="center" readingOrder="0" shrinkToFit="0" wrapText="1"/>
    </xf>
    <xf borderId="55" fillId="0" fontId="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19" fillId="0" fontId="80" numFmtId="0" xfId="0" applyAlignment="1" applyBorder="1" applyFont="1">
      <alignment horizontal="center" readingOrder="0" shrinkToFit="0" vertical="center" wrapText="1"/>
    </xf>
    <xf borderId="19" fillId="0" fontId="80" numFmtId="0" xfId="0" applyAlignment="1" applyBorder="1" applyFont="1">
      <alignment horizontal="center" readingOrder="0" vertical="center"/>
    </xf>
    <xf borderId="20" fillId="0" fontId="80" numFmtId="0" xfId="0" applyAlignment="1" applyBorder="1" applyFont="1">
      <alignment horizontal="center" readingOrder="0" shrinkToFit="0" vertical="center" wrapText="1"/>
    </xf>
    <xf borderId="55" fillId="0" fontId="80" numFmtId="0" xfId="0" applyAlignment="1" applyBorder="1" applyFont="1">
      <alignment horizontal="center" readingOrder="0" shrinkToFit="0" vertical="center" wrapText="1"/>
    </xf>
    <xf borderId="0" fillId="0" fontId="80" numFmtId="0" xfId="0" applyAlignment="1" applyFont="1">
      <alignment horizontal="center" readingOrder="0" shrinkToFit="0" vertical="center" wrapText="1"/>
    </xf>
    <xf borderId="13" fillId="0" fontId="81" numFmtId="0" xfId="0" applyAlignment="1" applyBorder="1" applyFont="1">
      <alignment horizontal="center" readingOrder="0" shrinkToFit="0" vertical="center" wrapText="1"/>
    </xf>
    <xf borderId="13" fillId="0" fontId="80" numFmtId="0" xfId="0" applyAlignment="1" applyBorder="1" applyFont="1">
      <alignment horizontal="center" vertical="center"/>
    </xf>
    <xf borderId="13" fillId="0" fontId="80" numFmtId="0" xfId="0" applyAlignment="1" applyBorder="1" applyFont="1">
      <alignment horizontal="center" readingOrder="0"/>
    </xf>
    <xf borderId="0" fillId="0" fontId="79" numFmtId="0" xfId="0" applyAlignment="1" applyFont="1">
      <alignment readingOrder="0"/>
    </xf>
    <xf borderId="22" fillId="0" fontId="6" numFmtId="49" xfId="0" applyAlignment="1" applyBorder="1" applyFont="1" applyNumberFormat="1">
      <alignment horizontal="center" readingOrder="0" vertical="bottom"/>
    </xf>
    <xf borderId="22" fillId="0" fontId="8" numFmtId="0" xfId="0" applyAlignment="1" applyBorder="1" applyFont="1">
      <alignment horizontal="center" readingOrder="0" shrinkToFit="0" wrapText="1"/>
    </xf>
    <xf borderId="20" fillId="0" fontId="80" numFmtId="0" xfId="0" applyAlignment="1" applyBorder="1" applyFont="1">
      <alignment horizontal="center" shrinkToFit="0" vertical="center" wrapText="1"/>
    </xf>
    <xf borderId="19" fillId="0" fontId="80" numFmtId="0" xfId="0" applyAlignment="1" applyBorder="1" applyFont="1">
      <alignment horizontal="center" shrinkToFit="0" vertical="center" wrapText="1"/>
    </xf>
    <xf borderId="19" fillId="0" fontId="81" numFmtId="0" xfId="0" applyAlignment="1" applyBorder="1" applyFont="1">
      <alignment horizontal="center" readingOrder="0" shrinkToFit="0" vertical="center" wrapText="1"/>
    </xf>
    <xf borderId="20" fillId="0" fontId="81" numFmtId="0" xfId="0" applyAlignment="1" applyBorder="1" applyFont="1">
      <alignment horizontal="center" readingOrder="0" shrinkToFit="0" vertical="center" wrapText="1"/>
    </xf>
    <xf borderId="22" fillId="0" fontId="80" numFmtId="0" xfId="0" applyAlignment="1" applyBorder="1" applyFont="1">
      <alignment horizontal="center" readingOrder="0" shrinkToFit="0" vertical="center" wrapText="1"/>
    </xf>
    <xf borderId="15" fillId="0" fontId="80" numFmtId="0" xfId="0" applyAlignment="1" applyBorder="1" applyFont="1">
      <alignment horizontal="center" readingOrder="0" shrinkToFit="0" vertical="center" wrapText="1"/>
    </xf>
    <xf borderId="15" fillId="0" fontId="80" numFmtId="0" xfId="0" applyAlignment="1" applyBorder="1" applyFont="1">
      <alignment horizontal="center" vertical="center"/>
    </xf>
    <xf borderId="15" fillId="0" fontId="80" numFmtId="0" xfId="0" applyAlignment="1" applyBorder="1" applyFont="1">
      <alignment horizontal="center" shrinkToFit="0" vertical="center" wrapText="1"/>
    </xf>
    <xf borderId="56" fillId="13" fontId="82" numFmtId="0" xfId="0" applyAlignment="1" applyBorder="1" applyFont="1">
      <alignment horizontal="center" vertical="bottom"/>
    </xf>
    <xf borderId="57" fillId="0" fontId="7" numFmtId="0" xfId="0" applyBorder="1" applyFont="1"/>
    <xf borderId="58" fillId="0" fontId="7" numFmtId="0" xfId="0" applyBorder="1" applyFont="1"/>
    <xf borderId="59" fillId="0" fontId="7" numFmtId="0" xfId="0" applyBorder="1" applyFont="1"/>
    <xf borderId="60" fillId="0" fontId="7" numFmtId="0" xfId="0" applyBorder="1" applyFont="1"/>
    <xf borderId="61" fillId="0" fontId="7" numFmtId="0" xfId="0" applyBorder="1" applyFont="1"/>
    <xf borderId="62" fillId="0" fontId="7" numFmtId="0" xfId="0" applyBorder="1" applyFont="1"/>
    <xf borderId="63" fillId="0" fontId="7" numFmtId="0" xfId="0" applyBorder="1" applyFont="1"/>
    <xf borderId="0" fillId="22" fontId="37" numFmtId="0" xfId="0" applyAlignment="1" applyFont="1">
      <alignment horizontal="center" shrinkToFit="0" wrapText="1"/>
    </xf>
    <xf borderId="0" fillId="22" fontId="83" numFmtId="0" xfId="0" applyAlignment="1" applyFont="1">
      <alignment horizontal="center" shrinkToFit="0" vertical="center" wrapText="1"/>
    </xf>
    <xf borderId="64" fillId="36" fontId="84" numFmtId="0" xfId="0" applyAlignment="1" applyBorder="1" applyFill="1" applyFont="1">
      <alignment horizontal="center" readingOrder="0" vertical="bottom"/>
    </xf>
    <xf borderId="64" fillId="36" fontId="84" numFmtId="0" xfId="0" applyAlignment="1" applyBorder="1" applyFont="1">
      <alignment horizontal="center" vertical="bottom"/>
    </xf>
    <xf borderId="65" fillId="36" fontId="84" numFmtId="0" xfId="0" applyAlignment="1" applyBorder="1" applyFont="1">
      <alignment horizontal="center" vertical="bottom"/>
    </xf>
    <xf borderId="66" fillId="36" fontId="84" numFmtId="0" xfId="0" applyAlignment="1" applyBorder="1" applyFont="1">
      <alignment horizontal="center" vertical="bottom"/>
    </xf>
    <xf borderId="67" fillId="36" fontId="84" numFmtId="0" xfId="0" applyAlignment="1" applyBorder="1" applyFont="1">
      <alignment horizontal="center" vertical="bottom"/>
    </xf>
    <xf borderId="67" fillId="0" fontId="7" numFmtId="0" xfId="0" applyBorder="1" applyFont="1"/>
    <xf borderId="68" fillId="0" fontId="85" numFmtId="0" xfId="0" applyAlignment="1" applyBorder="1" applyFont="1">
      <alignment horizontal="center" readingOrder="0" vertical="center"/>
    </xf>
    <xf borderId="69" fillId="0" fontId="56" numFmtId="0" xfId="0" applyAlignment="1" applyBorder="1" applyFont="1">
      <alignment horizontal="center" readingOrder="0" vertical="center"/>
    </xf>
    <xf borderId="70" fillId="0" fontId="56" numFmtId="0" xfId="0" applyAlignment="1" applyBorder="1" applyFont="1">
      <alignment horizontal="center" readingOrder="0" vertical="center"/>
    </xf>
    <xf borderId="71" fillId="0" fontId="86" numFmtId="0" xfId="0" applyAlignment="1" applyBorder="1" applyFont="1">
      <alignment horizontal="center"/>
    </xf>
    <xf borderId="70" fillId="0" fontId="7" numFmtId="0" xfId="0" applyBorder="1" applyFont="1"/>
    <xf borderId="68" fillId="0" fontId="85" numFmtId="0" xfId="0" applyAlignment="1" applyBorder="1" applyFont="1">
      <alignment horizontal="center" vertical="center"/>
    </xf>
    <xf borderId="71" fillId="0" fontId="86" numFmtId="0" xfId="0" applyAlignment="1" applyBorder="1" applyFont="1">
      <alignment horizontal="center" readingOrder="0"/>
    </xf>
    <xf borderId="72" fillId="0" fontId="85" numFmtId="0" xfId="0" applyAlignment="1" applyBorder="1" applyFont="1">
      <alignment horizontal="center" readingOrder="0" vertical="center"/>
    </xf>
    <xf borderId="72" fillId="0" fontId="85" numFmtId="0" xfId="0" applyAlignment="1" applyBorder="1" applyFont="1">
      <alignment horizontal="center" vertical="center"/>
    </xf>
    <xf borderId="0" fillId="37" fontId="87" numFmtId="0" xfId="0" applyAlignment="1" applyFill="1" applyFont="1">
      <alignment horizontal="left" readingOrder="0" shrinkToFit="0" vertical="bottom" wrapText="1"/>
    </xf>
    <xf borderId="13" fillId="8" fontId="88" numFmtId="0" xfId="0" applyAlignment="1" applyBorder="1" applyFont="1">
      <alignment horizontal="center" readingOrder="0" shrinkToFit="0" vertical="bottom" wrapText="1"/>
    </xf>
    <xf borderId="13" fillId="8" fontId="85" numFmtId="0" xfId="0" applyAlignment="1" applyBorder="1" applyFont="1">
      <alignment horizontal="center" readingOrder="0" shrinkToFit="0" vertical="bottom" wrapText="1"/>
    </xf>
    <xf borderId="13" fillId="8" fontId="85" numFmtId="0" xfId="0" applyAlignment="1" applyBorder="1" applyFont="1">
      <alignment horizontal="center" shrinkToFit="0" vertical="bottom" wrapText="1"/>
    </xf>
    <xf borderId="13" fillId="8" fontId="85" numFmtId="0" xfId="0" applyAlignment="1" applyBorder="1" applyFont="1">
      <alignment readingOrder="0" vertical="bottom"/>
    </xf>
    <xf borderId="0" fillId="8" fontId="85" numFmtId="0" xfId="0" applyAlignment="1" applyFont="1">
      <alignment readingOrder="0" vertical="bottom"/>
    </xf>
    <xf borderId="13" fillId="38" fontId="88" numFmtId="0" xfId="0" applyAlignment="1" applyBorder="1" applyFill="1" applyFont="1">
      <alignment horizontal="center" readingOrder="0" vertical="bottom"/>
    </xf>
    <xf borderId="13" fillId="38" fontId="85" numFmtId="0" xfId="0" applyAlignment="1" applyBorder="1" applyFont="1">
      <alignment horizontal="center" readingOrder="0" vertical="bottom"/>
    </xf>
    <xf borderId="13" fillId="38" fontId="85" numFmtId="0" xfId="0" applyAlignment="1" applyBorder="1" applyFont="1">
      <alignment horizontal="center" readingOrder="0" shrinkToFit="0" vertical="bottom" wrapText="1"/>
    </xf>
    <xf borderId="13" fillId="38" fontId="85" numFmtId="0" xfId="0" applyAlignment="1" applyBorder="1" applyFont="1">
      <alignment readingOrder="0" vertical="bottom"/>
    </xf>
    <xf borderId="0" fillId="38" fontId="85" numFmtId="0" xfId="0" applyAlignment="1" applyFont="1">
      <alignment readingOrder="0" vertical="bottom"/>
    </xf>
    <xf borderId="13" fillId="39" fontId="88" numFmtId="0" xfId="0" applyAlignment="1" applyBorder="1" applyFill="1" applyFont="1">
      <alignment horizontal="center" readingOrder="0" vertical="bottom"/>
    </xf>
    <xf borderId="13" fillId="39" fontId="85" numFmtId="0" xfId="0" applyAlignment="1" applyBorder="1" applyFont="1">
      <alignment horizontal="center" readingOrder="0" vertical="bottom"/>
    </xf>
    <xf borderId="13" fillId="39" fontId="85" numFmtId="0" xfId="0" applyAlignment="1" applyBorder="1" applyFont="1">
      <alignment readingOrder="0" vertical="bottom"/>
    </xf>
    <xf borderId="0" fillId="39" fontId="85" numFmtId="0" xfId="0" applyAlignment="1" applyFont="1">
      <alignment readingOrder="0" vertical="bottom"/>
    </xf>
    <xf borderId="13" fillId="40" fontId="88" numFmtId="0" xfId="0" applyAlignment="1" applyBorder="1" applyFill="1" applyFont="1">
      <alignment horizontal="center" readingOrder="0" vertical="bottom"/>
    </xf>
    <xf borderId="13" fillId="40" fontId="85" numFmtId="0" xfId="0" applyAlignment="1" applyBorder="1" applyFont="1">
      <alignment horizontal="center" readingOrder="0" vertical="bottom"/>
    </xf>
    <xf borderId="13" fillId="40" fontId="85" numFmtId="0" xfId="0" applyAlignment="1" applyBorder="1" applyFont="1">
      <alignment readingOrder="0" vertical="bottom"/>
    </xf>
    <xf borderId="0" fillId="40" fontId="85" numFmtId="0" xfId="0" applyAlignment="1" applyFont="1">
      <alignment readingOrder="0" vertical="bottom"/>
    </xf>
    <xf borderId="13" fillId="19" fontId="88" numFmtId="0" xfId="0" applyAlignment="1" applyBorder="1" applyFont="1">
      <alignment horizontal="center" readingOrder="0" vertical="bottom"/>
    </xf>
    <xf borderId="13" fillId="19" fontId="85" numFmtId="0" xfId="0" applyAlignment="1" applyBorder="1" applyFont="1">
      <alignment horizontal="center" readingOrder="0" vertical="bottom"/>
    </xf>
    <xf borderId="13" fillId="19" fontId="85" numFmtId="0" xfId="0" applyAlignment="1" applyBorder="1" applyFont="1">
      <alignment readingOrder="0" vertical="bottom"/>
    </xf>
    <xf borderId="0" fillId="19" fontId="85" numFmtId="0" xfId="0" applyAlignment="1" applyFont="1">
      <alignment readingOrder="0" vertical="bottom"/>
    </xf>
    <xf borderId="19" fillId="0" fontId="88" numFmtId="0" xfId="0" applyAlignment="1" applyBorder="1" applyFont="1">
      <alignment horizontal="center" readingOrder="0" vertical="bottom"/>
    </xf>
    <xf borderId="19" fillId="0" fontId="85" numFmtId="0" xfId="0" applyAlignment="1" applyBorder="1" applyFont="1">
      <alignment horizontal="center" readingOrder="0" vertical="bottom"/>
    </xf>
    <xf borderId="19" fillId="0" fontId="85" numFmtId="0" xfId="0" applyAlignment="1" applyBorder="1" applyFont="1">
      <alignment readingOrder="0" vertical="bottom"/>
    </xf>
    <xf borderId="0" fillId="0" fontId="85" numFmtId="0" xfId="0" applyAlignment="1" applyFont="1">
      <alignment readingOrder="0" vertical="bottom"/>
    </xf>
    <xf borderId="73" fillId="0" fontId="88" numFmtId="0" xfId="0" applyAlignment="1" applyBorder="1" applyFont="1">
      <alignment horizontal="center" readingOrder="0" vertical="bottom"/>
    </xf>
    <xf borderId="73" fillId="0" fontId="85" numFmtId="0" xfId="0" applyAlignment="1" applyBorder="1" applyFont="1">
      <alignment horizontal="center" readingOrder="0" vertical="bottom"/>
    </xf>
    <xf borderId="73" fillId="0" fontId="88" numFmtId="0" xfId="0" applyAlignment="1" applyBorder="1" applyFont="1">
      <alignment readingOrder="0" vertical="bottom"/>
    </xf>
    <xf borderId="0" fillId="0" fontId="88" numFmtId="0" xfId="0" applyAlignment="1" applyFont="1">
      <alignment readingOrder="0" vertical="bottom"/>
    </xf>
    <xf borderId="13" fillId="0" fontId="88" numFmtId="0" xfId="0" applyAlignment="1" applyBorder="1" applyFont="1">
      <alignment horizontal="center" readingOrder="0" vertical="bottom"/>
    </xf>
    <xf borderId="13" fillId="0" fontId="85" numFmtId="0" xfId="0" applyAlignment="1" applyBorder="1" applyFont="1">
      <alignment horizontal="center" readingOrder="0" vertical="bottom"/>
    </xf>
    <xf borderId="13" fillId="0" fontId="88" numFmtId="168" xfId="0" applyAlignment="1" applyBorder="1" applyFont="1" applyNumberFormat="1">
      <alignment readingOrder="0" vertical="bottom"/>
    </xf>
    <xf borderId="0" fillId="0" fontId="89" numFmtId="0" xfId="0" applyAlignment="1" applyFont="1">
      <alignment vertical="bottom"/>
    </xf>
    <xf borderId="13" fillId="0" fontId="88" numFmtId="0" xfId="0" applyAlignment="1" applyBorder="1" applyFont="1">
      <alignment readingOrder="0" vertical="bottom"/>
    </xf>
    <xf borderId="18" fillId="41" fontId="35" numFmtId="0" xfId="0" applyAlignment="1" applyBorder="1" applyFill="1" applyFont="1">
      <alignment horizontal="center" readingOrder="0" vertical="bottom"/>
    </xf>
    <xf borderId="23" fillId="10" fontId="90" numFmtId="0" xfId="0" applyAlignment="1" applyBorder="1" applyFont="1">
      <alignment horizontal="center" vertical="bottom"/>
    </xf>
    <xf borderId="16" fillId="0" fontId="7" numFmtId="0" xfId="0" applyBorder="1" applyFont="1"/>
    <xf borderId="25" fillId="10" fontId="4" numFmtId="0" xfId="0" applyAlignment="1" applyBorder="1" applyFont="1">
      <alignment vertical="bottom"/>
    </xf>
    <xf borderId="16" fillId="10" fontId="90" numFmtId="0" xfId="0" applyAlignment="1" applyBorder="1" applyFont="1">
      <alignment horizontal="center" vertical="bottom"/>
    </xf>
    <xf borderId="25" fillId="10" fontId="90" numFmtId="0" xfId="0" applyAlignment="1" applyBorder="1" applyFont="1">
      <alignment horizontal="center" vertical="bottom"/>
    </xf>
    <xf borderId="17" fillId="0" fontId="91" numFmtId="0" xfId="0" applyAlignment="1" applyBorder="1" applyFont="1">
      <alignment horizontal="center" vertical="bottom"/>
    </xf>
    <xf borderId="14" fillId="0" fontId="91" numFmtId="0" xfId="0" applyAlignment="1" applyBorder="1" applyFont="1">
      <alignment horizontal="center" readingOrder="0" vertical="bottom"/>
    </xf>
    <xf borderId="25" fillId="0" fontId="91" numFmtId="0" xfId="0" applyAlignment="1" applyBorder="1" applyFont="1">
      <alignment horizontal="center" readingOrder="0" vertical="bottom"/>
    </xf>
    <xf borderId="17" fillId="0" fontId="91" numFmtId="0" xfId="0" applyAlignment="1" applyBorder="1" applyFont="1">
      <alignment horizontal="center" readingOrder="0" vertical="bottom"/>
    </xf>
    <xf borderId="17" fillId="35" fontId="92" numFmtId="0" xfId="0" applyAlignment="1" applyBorder="1" applyFont="1">
      <alignment horizontal="center" readingOrder="0" vertical="bottom"/>
    </xf>
    <xf borderId="17" fillId="35" fontId="75" numFmtId="0" xfId="0" applyAlignment="1" applyBorder="1" applyFont="1">
      <alignment horizontal="center" vertical="center"/>
    </xf>
    <xf borderId="14" fillId="35" fontId="92" numFmtId="0" xfId="0" applyAlignment="1" applyBorder="1" applyFont="1">
      <alignment horizontal="center" vertical="bottom"/>
    </xf>
    <xf borderId="17" fillId="35" fontId="92" numFmtId="0" xfId="0" applyAlignment="1" applyBorder="1" applyFont="1">
      <alignment horizontal="center" vertical="bottom"/>
    </xf>
    <xf borderId="13" fillId="0" fontId="92" numFmtId="0" xfId="0" applyAlignment="1" applyBorder="1" applyFont="1">
      <alignment horizontal="center" readingOrder="0" vertical="bottom"/>
    </xf>
    <xf borderId="17" fillId="42" fontId="92" numFmtId="0" xfId="0" applyAlignment="1" applyBorder="1" applyFill="1" applyFont="1">
      <alignment horizontal="center" vertical="bottom"/>
    </xf>
    <xf borderId="13" fillId="0" fontId="4" numFmtId="0" xfId="0" applyAlignment="1" applyBorder="1" applyFont="1">
      <alignment vertical="bottom"/>
    </xf>
    <xf borderId="17" fillId="42" fontId="92" numFmtId="0" xfId="0" applyAlignment="1" applyBorder="1" applyFont="1">
      <alignment horizontal="center" readingOrder="0" vertical="bottom"/>
    </xf>
    <xf borderId="17" fillId="35" fontId="92" numFmtId="0" xfId="0" applyAlignment="1" applyBorder="1" applyFont="1">
      <alignment horizontal="center" readingOrder="0" vertical="center"/>
    </xf>
    <xf borderId="17" fillId="0" fontId="92" numFmtId="0" xfId="0" applyAlignment="1" applyBorder="1" applyFont="1">
      <alignment horizontal="center" readingOrder="0" vertical="bottom"/>
    </xf>
    <xf borderId="17" fillId="35" fontId="4" numFmtId="0" xfId="0" applyAlignment="1" applyBorder="1" applyFont="1">
      <alignment vertical="bottom"/>
    </xf>
    <xf borderId="17" fillId="0" fontId="92" numFmtId="0" xfId="0" applyAlignment="1" applyBorder="1" applyFont="1">
      <alignment horizontal="center" vertical="bottom"/>
    </xf>
    <xf borderId="17" fillId="0" fontId="4" numFmtId="0" xfId="0" applyAlignment="1" applyBorder="1" applyFont="1">
      <alignment vertical="bottom"/>
    </xf>
    <xf borderId="0" fillId="0" fontId="93" numFmtId="0" xfId="0" applyFont="1"/>
    <xf borderId="17" fillId="0" fontId="4" numFmtId="0" xfId="0" applyAlignment="1" applyBorder="1" applyFont="1">
      <alignment vertical="center"/>
    </xf>
    <xf borderId="14" fillId="0" fontId="92" numFmtId="0" xfId="0" applyAlignment="1" applyBorder="1" applyFont="1">
      <alignment horizontal="center" vertical="bottom"/>
    </xf>
    <xf borderId="13" fillId="0" fontId="92" numFmtId="0" xfId="0" applyAlignment="1" applyBorder="1" applyFont="1">
      <alignment horizontal="center" vertical="bottom"/>
    </xf>
    <xf borderId="24" fillId="0" fontId="4" numFmtId="0" xfId="0" applyAlignment="1" applyBorder="1" applyFont="1">
      <alignment vertical="bottom"/>
    </xf>
    <xf borderId="17" fillId="10" fontId="4" numFmtId="0" xfId="0" applyAlignment="1" applyBorder="1" applyFont="1">
      <alignment vertical="bottom"/>
    </xf>
    <xf borderId="14" fillId="41" fontId="92" numFmtId="0" xfId="0" applyAlignment="1" applyBorder="1" applyFont="1">
      <alignment horizontal="center" vertical="bottom"/>
    </xf>
    <xf borderId="17" fillId="41" fontId="92" numFmtId="0" xfId="0" applyAlignment="1" applyBorder="1" applyFont="1">
      <alignment horizontal="center" vertical="bottom"/>
    </xf>
    <xf borderId="13" fillId="41" fontId="92" numFmtId="0" xfId="0" applyAlignment="1" applyBorder="1" applyFont="1">
      <alignment horizontal="center" vertical="bottom"/>
    </xf>
    <xf borderId="0" fillId="7" fontId="94" numFmtId="0" xfId="0" applyAlignment="1" applyFont="1">
      <alignment horizontal="left"/>
    </xf>
    <xf borderId="14" fillId="41" fontId="92" numFmtId="0" xfId="0" applyAlignment="1" applyBorder="1" applyFont="1">
      <alignment horizontal="center" vertical="bottom"/>
    </xf>
    <xf borderId="24" fillId="43" fontId="92" numFmtId="0" xfId="0" applyAlignment="1" applyBorder="1" applyFill="1" applyFont="1">
      <alignment horizontal="center" vertical="bottom"/>
    </xf>
    <xf borderId="24" fillId="43" fontId="92" numFmtId="0" xfId="0" applyAlignment="1" applyBorder="1" applyFont="1">
      <alignment horizontal="center" vertical="center"/>
    </xf>
    <xf borderId="13" fillId="43" fontId="92" numFmtId="0" xfId="0" applyAlignment="1" applyBorder="1" applyFont="1">
      <alignment horizontal="center" vertical="bottom"/>
    </xf>
    <xf borderId="17" fillId="9" fontId="92" numFmtId="0" xfId="0" applyAlignment="1" applyBorder="1" applyFont="1">
      <alignment horizontal="center" vertical="bottom"/>
    </xf>
    <xf borderId="17" fillId="9" fontId="92" numFmtId="0" xfId="0" applyAlignment="1" applyBorder="1" applyFont="1">
      <alignment horizontal="center" vertical="center"/>
    </xf>
    <xf borderId="14" fillId="9" fontId="92" numFmtId="0" xfId="0" applyAlignment="1" applyBorder="1" applyFont="1">
      <alignment horizontal="center" vertical="bottom"/>
    </xf>
    <xf borderId="17" fillId="44" fontId="4" numFmtId="0" xfId="0" applyAlignment="1" applyBorder="1" applyFill="1" applyFont="1">
      <alignment vertical="bottom"/>
    </xf>
    <xf borderId="17" fillId="43" fontId="92" numFmtId="0" xfId="0" applyAlignment="1" applyBorder="1" applyFont="1">
      <alignment horizontal="center" vertical="bottom"/>
    </xf>
    <xf borderId="17" fillId="43" fontId="92" numFmtId="0" xfId="0" applyAlignment="1" applyBorder="1" applyFont="1">
      <alignment horizontal="center" vertical="center"/>
    </xf>
    <xf borderId="14" fillId="43" fontId="92" numFmtId="0" xfId="0" applyAlignment="1" applyBorder="1" applyFont="1">
      <alignment horizontal="center" vertical="bottom"/>
    </xf>
    <xf borderId="17" fillId="43" fontId="4" numFmtId="0" xfId="0" applyAlignment="1" applyBorder="1" applyFont="1">
      <alignment vertical="bottom"/>
    </xf>
    <xf borderId="17" fillId="42" fontId="4" numFmtId="0" xfId="0" applyAlignment="1" applyBorder="1" applyFont="1">
      <alignment vertical="bottom"/>
    </xf>
    <xf borderId="17" fillId="0" fontId="92" numFmtId="0" xfId="0" applyAlignment="1" applyBorder="1" applyFont="1">
      <alignment horizontal="center" vertical="center"/>
    </xf>
    <xf borderId="16" fillId="41" fontId="4" numFmtId="0" xfId="0" applyAlignment="1" applyBorder="1" applyFont="1">
      <alignment vertical="bottom"/>
    </xf>
    <xf borderId="13" fillId="0" fontId="92" numFmtId="0" xfId="0" applyAlignment="1" applyBorder="1" applyFont="1">
      <alignment horizontal="center" shrinkToFit="0" vertical="bottom" wrapText="0"/>
    </xf>
    <xf borderId="14" fillId="45" fontId="92" numFmtId="0" xfId="0" applyAlignment="1" applyBorder="1" applyFill="1" applyFont="1">
      <alignment horizontal="center" vertical="bottom"/>
    </xf>
    <xf borderId="17" fillId="45" fontId="92" numFmtId="0" xfId="0" applyAlignment="1" applyBorder="1" applyFont="1">
      <alignment horizontal="center" readingOrder="0" vertical="bottom"/>
    </xf>
    <xf borderId="17" fillId="45" fontId="4" numFmtId="0" xfId="0" applyAlignment="1" applyBorder="1" applyFont="1">
      <alignment vertical="bottom"/>
    </xf>
    <xf borderId="14" fillId="46" fontId="92" numFmtId="0" xfId="0" applyAlignment="1" applyBorder="1" applyFill="1" applyFont="1">
      <alignment horizontal="center" vertical="bottom"/>
    </xf>
    <xf borderId="17" fillId="46" fontId="92" numFmtId="0" xfId="0" applyAlignment="1" applyBorder="1" applyFont="1">
      <alignment horizontal="center" readingOrder="0" vertical="bottom"/>
    </xf>
    <xf borderId="17" fillId="46" fontId="4" numFmtId="0" xfId="0" applyAlignment="1" applyBorder="1" applyFont="1">
      <alignment vertical="bottom"/>
    </xf>
    <xf borderId="17" fillId="45" fontId="92" numFmtId="0" xfId="0" applyAlignment="1" applyBorder="1" applyFont="1">
      <alignment horizontal="center" vertical="bottom"/>
    </xf>
    <xf borderId="17" fillId="24" fontId="13" numFmtId="0" xfId="0" applyAlignment="1" applyBorder="1" applyFont="1">
      <alignment horizontal="center" readingOrder="0" vertical="bottom"/>
    </xf>
    <xf borderId="17" fillId="47" fontId="4" numFmtId="0" xfId="0" applyAlignment="1" applyBorder="1" applyFill="1" applyFont="1">
      <alignment vertical="bottom"/>
    </xf>
    <xf borderId="18" fillId="48" fontId="35" numFmtId="0" xfId="0" applyAlignment="1" applyBorder="1" applyFill="1" applyFont="1">
      <alignment horizontal="center" readingOrder="0" vertical="bottom"/>
    </xf>
    <xf borderId="18" fillId="24" fontId="35" numFmtId="0" xfId="0" applyAlignment="1" applyBorder="1" applyFont="1">
      <alignment horizontal="center" readingOrder="0" vertical="bottom"/>
    </xf>
    <xf borderId="18" fillId="32" fontId="95" numFmtId="0" xfId="0" applyAlignment="1" applyBorder="1" applyFont="1">
      <alignment horizontal="center" readingOrder="0" vertical="bottom"/>
    </xf>
    <xf borderId="18" fillId="7" fontId="95" numFmtId="0" xfId="0" applyAlignment="1" applyBorder="1" applyFont="1">
      <alignment horizontal="center" readingOrder="0" vertical="bottom"/>
    </xf>
    <xf borderId="20" fillId="7" fontId="96" numFmtId="0" xfId="0" applyAlignment="1" applyBorder="1" applyFont="1">
      <alignment horizontal="center" readingOrder="0" vertical="bottom"/>
    </xf>
    <xf borderId="15" fillId="0" fontId="7" numFmtId="0" xfId="0" applyBorder="1" applyFont="1"/>
    <xf borderId="30" fillId="0" fontId="7" numFmtId="0" xfId="0" applyBorder="1" applyFont="1"/>
    <xf borderId="18" fillId="0" fontId="18" numFmtId="0" xfId="0" applyAlignment="1" applyBorder="1" applyFont="1">
      <alignment horizontal="center" readingOrder="0" vertical="bottom"/>
    </xf>
    <xf borderId="0" fillId="10" fontId="4" numFmtId="0" xfId="0" applyAlignment="1" applyFont="1">
      <alignment vertical="bottom"/>
    </xf>
    <xf borderId="25" fillId="0" fontId="91" numFmtId="0" xfId="0" applyAlignment="1" applyBorder="1" applyFont="1">
      <alignment horizontal="center" vertical="bottom"/>
    </xf>
    <xf borderId="13" fillId="35" fontId="92" numFmtId="0" xfId="0" applyAlignment="1" applyBorder="1" applyFont="1">
      <alignment horizontal="center" readingOrder="0" vertical="center"/>
    </xf>
    <xf borderId="13" fillId="35" fontId="92" numFmtId="0" xfId="0" applyAlignment="1" applyBorder="1" applyFont="1">
      <alignment horizontal="center" vertical="bottom"/>
    </xf>
    <xf borderId="25" fillId="30" fontId="4" numFmtId="0" xfId="0" applyAlignment="1" applyBorder="1" applyFont="1">
      <alignment vertical="bottom"/>
    </xf>
    <xf borderId="13" fillId="49" fontId="92" numFmtId="0" xfId="0" applyAlignment="1" applyBorder="1" applyFill="1" applyFont="1">
      <alignment horizontal="center" vertical="bottom"/>
    </xf>
    <xf borderId="13" fillId="49" fontId="92" numFmtId="0" xfId="0" applyAlignment="1" applyBorder="1" applyFont="1">
      <alignment horizontal="center" readingOrder="0" vertical="center"/>
    </xf>
    <xf borderId="13" fillId="49" fontId="91" numFmtId="0" xfId="0" applyAlignment="1" applyBorder="1" applyFont="1">
      <alignment horizontal="center" readingOrder="0" vertical="center"/>
    </xf>
    <xf borderId="18" fillId="49" fontId="92" numFmtId="0" xfId="0" applyAlignment="1" applyBorder="1" applyFont="1">
      <alignment horizontal="center" readingOrder="0" vertical="center"/>
    </xf>
    <xf borderId="19" fillId="20" fontId="92" numFmtId="0" xfId="0" applyAlignment="1" applyBorder="1" applyFont="1">
      <alignment horizontal="center" vertical="center"/>
    </xf>
    <xf borderId="30" fillId="20" fontId="92" numFmtId="0" xfId="0" applyAlignment="1" applyBorder="1" applyFont="1">
      <alignment horizontal="center" vertical="center"/>
    </xf>
    <xf borderId="25" fillId="0" fontId="4" numFmtId="0" xfId="0" applyAlignment="1" applyBorder="1" applyFont="1">
      <alignment readingOrder="0" vertical="bottom"/>
    </xf>
    <xf borderId="25" fillId="0" fontId="4" numFmtId="0" xfId="0" applyAlignment="1" applyBorder="1" applyFont="1">
      <alignment vertical="bottom"/>
    </xf>
    <xf borderId="21" fillId="20" fontId="92" numFmtId="0" xfId="0" applyAlignment="1" applyBorder="1" applyFont="1">
      <alignment horizontal="center" vertical="center"/>
    </xf>
    <xf borderId="25" fillId="20" fontId="92" numFmtId="0" xfId="0" applyAlignment="1" applyBorder="1" applyFont="1">
      <alignment horizontal="center" vertical="center"/>
    </xf>
    <xf borderId="13" fillId="35" fontId="92" numFmtId="0" xfId="0" applyAlignment="1" applyBorder="1" applyFont="1">
      <alignment horizontal="center" vertical="center"/>
    </xf>
    <xf borderId="13" fillId="49" fontId="92" numFmtId="0" xfId="0" applyAlignment="1" applyBorder="1" applyFont="1">
      <alignment horizontal="center" vertical="center"/>
    </xf>
    <xf borderId="18" fillId="35" fontId="92" numFmtId="0" xfId="0" applyAlignment="1" applyBorder="1" applyFont="1">
      <alignment horizontal="center" readingOrder="0" vertical="center"/>
    </xf>
    <xf borderId="74" fillId="35" fontId="92" numFmtId="0" xfId="0" applyAlignment="1" applyBorder="1" applyFont="1">
      <alignment horizontal="center" readingOrder="0" vertical="center"/>
    </xf>
    <xf borderId="75" fillId="35" fontId="75" numFmtId="0" xfId="0" applyAlignment="1" applyBorder="1" applyFont="1">
      <alignment horizontal="center" vertical="center"/>
    </xf>
    <xf borderId="74" fillId="35" fontId="92" numFmtId="0" xfId="0" applyAlignment="1" applyBorder="1" applyFont="1">
      <alignment horizontal="center" vertical="bottom"/>
    </xf>
    <xf borderId="74" fillId="0" fontId="92" numFmtId="0" xfId="0" applyAlignment="1" applyBorder="1" applyFont="1">
      <alignment horizontal="center" readingOrder="0" vertical="bottom"/>
    </xf>
    <xf borderId="76" fillId="20" fontId="92" numFmtId="0" xfId="0" applyAlignment="1" applyBorder="1" applyFont="1">
      <alignment horizontal="center" vertical="center"/>
    </xf>
    <xf borderId="77" fillId="20" fontId="92" numFmtId="0" xfId="0" applyAlignment="1" applyBorder="1" applyFont="1">
      <alignment horizontal="center" vertical="center"/>
    </xf>
    <xf borderId="75" fillId="0" fontId="4" numFmtId="0" xfId="0" applyAlignment="1" applyBorder="1" applyFont="1">
      <alignment vertical="bottom"/>
    </xf>
    <xf borderId="14" fillId="35" fontId="92" numFmtId="0" xfId="0" applyAlignment="1" applyBorder="1" applyFont="1">
      <alignment horizontal="center" readingOrder="0" vertical="center"/>
    </xf>
    <xf borderId="14" fillId="0" fontId="92" numFmtId="0" xfId="0" applyAlignment="1" applyBorder="1" applyFont="1">
      <alignment horizontal="center" readingOrder="0" vertical="bottom"/>
    </xf>
    <xf borderId="14" fillId="49" fontId="92" numFmtId="0" xfId="0" applyAlignment="1" applyBorder="1" applyFont="1">
      <alignment horizontal="center" vertical="bottom"/>
    </xf>
    <xf borderId="14" fillId="49" fontId="92" numFmtId="0" xfId="0" applyAlignment="1" applyBorder="1" applyFont="1">
      <alignment horizontal="center" readingOrder="0" vertical="center"/>
    </xf>
    <xf borderId="14" fillId="49" fontId="91" numFmtId="0" xfId="0" applyAlignment="1" applyBorder="1" applyFont="1">
      <alignment horizontal="center" readingOrder="0" vertical="center"/>
    </xf>
    <xf borderId="22" fillId="20" fontId="92" numFmtId="0" xfId="0" applyAlignment="1" applyBorder="1" applyFont="1">
      <alignment horizontal="center" vertical="center"/>
    </xf>
    <xf borderId="18" fillId="35" fontId="92" numFmtId="0" xfId="0" applyAlignment="1" applyBorder="1" applyFont="1">
      <alignment horizontal="center" vertical="center"/>
    </xf>
    <xf borderId="21" fillId="20" fontId="92" numFmtId="0" xfId="0" applyAlignment="1" applyBorder="1" applyFont="1">
      <alignment horizontal="center"/>
    </xf>
    <xf borderId="25" fillId="20" fontId="92" numFmtId="0" xfId="0" applyAlignment="1" applyBorder="1" applyFont="1">
      <alignment horizontal="center"/>
    </xf>
    <xf borderId="21" fillId="30" fontId="4" numFmtId="0" xfId="0" applyAlignment="1" applyBorder="1" applyFont="1">
      <alignment vertical="bottom"/>
    </xf>
    <xf borderId="78" fillId="35" fontId="92" numFmtId="0" xfId="0" applyAlignment="1" applyBorder="1" applyFont="1">
      <alignment horizontal="center" vertical="bottom"/>
    </xf>
    <xf borderId="74" fillId="35" fontId="91" numFmtId="0" xfId="0" applyAlignment="1" applyBorder="1" applyFont="1">
      <alignment horizontal="center"/>
    </xf>
    <xf borderId="78" fillId="35" fontId="92" numFmtId="0" xfId="0" applyAlignment="1" applyBorder="1" applyFont="1">
      <alignment horizontal="center"/>
    </xf>
    <xf borderId="76" fillId="20" fontId="92" numFmtId="0" xfId="0" applyAlignment="1" applyBorder="1" applyFont="1">
      <alignment horizontal="center"/>
    </xf>
    <xf borderId="77" fillId="20" fontId="92" numFmtId="0" xfId="0" applyAlignment="1" applyBorder="1" applyFont="1">
      <alignment horizontal="center"/>
    </xf>
    <xf borderId="48" fillId="0" fontId="4" numFmtId="0" xfId="0" applyAlignment="1" applyBorder="1" applyFont="1">
      <alignment vertical="bottom"/>
    </xf>
    <xf borderId="77" fillId="0" fontId="4" numFmtId="0" xfId="0" applyAlignment="1" applyBorder="1" applyFont="1">
      <alignment vertical="bottom"/>
    </xf>
    <xf borderId="14" fillId="35" fontId="92" numFmtId="0" xfId="0" applyAlignment="1" applyBorder="1" applyFont="1">
      <alignment horizontal="center" readingOrder="0" vertical="bottom"/>
    </xf>
    <xf borderId="23" fillId="35" fontId="92" numFmtId="0" xfId="0" applyAlignment="1" applyBorder="1" applyFont="1">
      <alignment horizontal="center" readingOrder="0" vertical="center"/>
    </xf>
    <xf borderId="14" fillId="35" fontId="92" numFmtId="0" xfId="0" applyAlignment="1" applyBorder="1" applyFont="1">
      <alignment horizontal="center"/>
    </xf>
    <xf borderId="17" fillId="35" fontId="92" numFmtId="0" xfId="0" applyAlignment="1" applyBorder="1" applyFont="1">
      <alignment horizontal="center" readingOrder="0"/>
    </xf>
    <xf borderId="16" fillId="35" fontId="92" numFmtId="0" xfId="0" applyAlignment="1" applyBorder="1" applyFont="1">
      <alignment horizontal="center" readingOrder="0"/>
    </xf>
    <xf borderId="13" fillId="35" fontId="92" numFmtId="0" xfId="0" applyAlignment="1" applyBorder="1" applyFont="1">
      <alignment horizontal="center" readingOrder="0" vertical="bottom"/>
    </xf>
    <xf borderId="13" fillId="35" fontId="91" numFmtId="0" xfId="0" applyAlignment="1" applyBorder="1" applyFont="1">
      <alignment horizontal="center" vertical="bottom"/>
    </xf>
    <xf borderId="26" fillId="35" fontId="92" numFmtId="0" xfId="0" applyAlignment="1" applyBorder="1" applyFont="1">
      <alignment horizontal="center" vertical="bottom"/>
    </xf>
    <xf borderId="26" fillId="35" fontId="92" numFmtId="0" xfId="0" applyAlignment="1" applyBorder="1" applyFont="1">
      <alignment horizontal="center" readingOrder="0" vertical="bottom"/>
    </xf>
    <xf borderId="16" fillId="35" fontId="92" numFmtId="0" xfId="0" applyAlignment="1" applyBorder="1" applyFont="1">
      <alignment horizontal="center" readingOrder="0" vertical="bottom"/>
    </xf>
    <xf borderId="19" fillId="35" fontId="92" numFmtId="0" xfId="0" applyAlignment="1" applyBorder="1" applyFont="1">
      <alignment horizontal="center" readingOrder="0" vertical="center"/>
    </xf>
    <xf borderId="22" fillId="20" fontId="97" numFmtId="0" xfId="0" applyAlignment="1" applyBorder="1" applyFont="1">
      <alignment horizontal="center" readingOrder="0" textRotation="180" vertical="center"/>
    </xf>
    <xf borderId="14" fillId="20" fontId="92" numFmtId="0" xfId="0" applyAlignment="1" applyBorder="1" applyFont="1">
      <alignment horizontal="center" vertical="center"/>
    </xf>
    <xf borderId="13" fillId="50" fontId="92" numFmtId="0" xfId="0" applyAlignment="1" applyBorder="1" applyFill="1" applyFont="1">
      <alignment horizontal="center" vertical="bottom"/>
    </xf>
    <xf borderId="13" fillId="50" fontId="92" numFmtId="0" xfId="0" applyAlignment="1" applyBorder="1" applyFont="1">
      <alignment horizontal="center" vertical="center"/>
    </xf>
    <xf borderId="21" fillId="50" fontId="97" numFmtId="0" xfId="0" applyAlignment="1" applyBorder="1" applyFont="1">
      <alignment horizontal="center" readingOrder="0" vertical="center"/>
    </xf>
    <xf borderId="13" fillId="50" fontId="92" numFmtId="0" xfId="0" applyAlignment="1" applyBorder="1" applyFont="1">
      <alignment horizontal="center" readingOrder="0" vertical="center"/>
    </xf>
    <xf borderId="19" fillId="50" fontId="97" numFmtId="0" xfId="0" applyAlignment="1" applyBorder="1" applyFont="1">
      <alignment horizontal="center" readingOrder="0" textRotation="180" vertical="center"/>
    </xf>
    <xf borderId="14" fillId="50" fontId="92" numFmtId="0" xfId="0" applyAlignment="1" applyBorder="1" applyFont="1">
      <alignment horizontal="center" vertical="center"/>
    </xf>
    <xf borderId="74" fillId="35" fontId="92" numFmtId="0" xfId="0" applyAlignment="1" applyBorder="1" applyFont="1">
      <alignment horizontal="center" readingOrder="0" vertical="bottom"/>
    </xf>
    <xf borderId="74" fillId="50" fontId="92" numFmtId="0" xfId="0" applyAlignment="1" applyBorder="1" applyFont="1">
      <alignment horizontal="center" readingOrder="0" vertical="bottom"/>
    </xf>
    <xf borderId="74" fillId="50" fontId="92" numFmtId="0" xfId="0" applyAlignment="1" applyBorder="1" applyFont="1">
      <alignment horizontal="center" readingOrder="0" vertical="center"/>
    </xf>
    <xf borderId="77" fillId="0" fontId="7" numFmtId="0" xfId="0" applyBorder="1" applyFont="1"/>
    <xf borderId="74" fillId="50" fontId="92" numFmtId="0" xfId="0" applyAlignment="1" applyBorder="1" applyFont="1">
      <alignment horizontal="center" vertical="center"/>
    </xf>
    <xf borderId="22" fillId="49" fontId="92" numFmtId="0" xfId="0" applyAlignment="1" applyBorder="1" applyFont="1">
      <alignment horizontal="center" vertical="center"/>
    </xf>
    <xf borderId="21" fillId="49" fontId="92" numFmtId="0" xfId="0" applyAlignment="1" applyBorder="1" applyFont="1">
      <alignment horizontal="center" vertical="center"/>
    </xf>
    <xf borderId="13" fillId="35" fontId="92" numFmtId="0" xfId="0" applyAlignment="1" applyBorder="1" applyFont="1">
      <alignment horizontal="center"/>
    </xf>
    <xf borderId="26" fillId="35" fontId="92" numFmtId="0" xfId="0" applyAlignment="1" applyBorder="1" applyFont="1">
      <alignment horizontal="center"/>
    </xf>
    <xf borderId="21" fillId="35" fontId="92" numFmtId="0" xfId="0" applyAlignment="1" applyBorder="1" applyFont="1">
      <alignment horizontal="center" vertical="center"/>
    </xf>
    <xf borderId="26" fillId="35" fontId="92" numFmtId="0" xfId="0" applyAlignment="1" applyBorder="1" applyFont="1">
      <alignment horizontal="center" readingOrder="0"/>
    </xf>
    <xf borderId="21" fillId="35" fontId="92" numFmtId="0" xfId="0" applyAlignment="1" applyBorder="1" applyFont="1">
      <alignment horizontal="center" readingOrder="0" vertical="center"/>
    </xf>
    <xf borderId="14" fillId="35" fontId="92" numFmtId="0" xfId="0" applyAlignment="1" applyBorder="1" applyFont="1">
      <alignment horizontal="center"/>
    </xf>
    <xf borderId="17" fillId="30" fontId="4" numFmtId="0" xfId="0" applyAlignment="1" applyBorder="1" applyFont="1">
      <alignment vertical="bottom"/>
    </xf>
    <xf borderId="23" fillId="35" fontId="92" numFmtId="0" xfId="0" applyAlignment="1" applyBorder="1" applyFont="1">
      <alignment horizontal="center" vertical="center"/>
    </xf>
    <xf borderId="79" fillId="0" fontId="18" numFmtId="0" xfId="0" applyAlignment="1" applyBorder="1" applyFont="1">
      <alignment horizontal="center" readingOrder="0" vertical="bottom"/>
    </xf>
    <xf borderId="79" fillId="0" fontId="7" numFmtId="0" xfId="0" applyBorder="1" applyFont="1"/>
    <xf borderId="80" fillId="0" fontId="7" numFmtId="0" xfId="0" applyBorder="1" applyFont="1"/>
    <xf borderId="21" fillId="0" fontId="13" numFmtId="0" xfId="0" applyBorder="1" applyFont="1"/>
    <xf borderId="26" fillId="22" fontId="18" numFmtId="0" xfId="0" applyAlignment="1" applyBorder="1" applyFont="1">
      <alignment horizontal="center" readingOrder="0" vertical="bottom"/>
    </xf>
    <xf borderId="0" fillId="0" fontId="13" numFmtId="0" xfId="0" applyFont="1"/>
    <xf borderId="0" fillId="0" fontId="18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25" fillId="10" fontId="4" numFmtId="0" xfId="0" applyBorder="1" applyFont="1"/>
    <xf borderId="0" fillId="10" fontId="4" numFmtId="0" xfId="0" applyFont="1"/>
    <xf borderId="18" fillId="10" fontId="98" numFmtId="0" xfId="0" applyAlignment="1" applyBorder="1" applyFont="1">
      <alignment horizontal="center" readingOrder="0" vertical="bottom"/>
    </xf>
    <xf borderId="16" fillId="0" fontId="91" numFmtId="0" xfId="0" applyAlignment="1" applyBorder="1" applyFont="1">
      <alignment horizontal="center"/>
    </xf>
    <xf borderId="13" fillId="0" fontId="91" numFmtId="0" xfId="0" applyAlignment="1" applyBorder="1" applyFont="1">
      <alignment horizontal="center"/>
    </xf>
    <xf borderId="16" fillId="0" fontId="91" numFmtId="0" xfId="0" applyAlignment="1" applyBorder="1" applyFont="1">
      <alignment horizontal="center"/>
    </xf>
    <xf borderId="22" fillId="0" fontId="13" numFmtId="0" xfId="0" applyBorder="1" applyFont="1"/>
    <xf borderId="13" fillId="22" fontId="91" numFmtId="0" xfId="0" applyAlignment="1" applyBorder="1" applyFont="1">
      <alignment horizontal="center" vertical="bottom"/>
    </xf>
    <xf borderId="13" fillId="22" fontId="99" numFmtId="0" xfId="0" applyAlignment="1" applyBorder="1" applyFont="1">
      <alignment horizontal="center" readingOrder="0" vertical="bottom"/>
    </xf>
    <xf borderId="13" fillId="22" fontId="91" numFmtId="0" xfId="0" applyAlignment="1" applyBorder="1" applyFont="1">
      <alignment horizontal="center" readingOrder="0" vertical="bottom"/>
    </xf>
    <xf borderId="17" fillId="35" fontId="13" numFmtId="0" xfId="0" applyAlignment="1" applyBorder="1" applyFont="1">
      <alignment horizontal="center" readingOrder="0" vertical="bottom"/>
    </xf>
    <xf borderId="17" fillId="51" fontId="4" numFmtId="0" xfId="0" applyAlignment="1" applyBorder="1" applyFill="1" applyFont="1">
      <alignment vertical="bottom"/>
    </xf>
    <xf borderId="17" fillId="51" fontId="4" numFmtId="0" xfId="0" applyAlignment="1" applyBorder="1" applyFont="1">
      <alignment vertical="bottom"/>
    </xf>
    <xf borderId="13" fillId="22" fontId="100" numFmtId="0" xfId="0" applyAlignment="1" applyBorder="1" applyFont="1">
      <alignment horizontal="center" readingOrder="0" vertical="bottom"/>
    </xf>
    <xf borderId="13" fillId="22" fontId="92" numFmtId="0" xfId="0" applyAlignment="1" applyBorder="1" applyFont="1">
      <alignment horizontal="center" vertical="bottom"/>
    </xf>
    <xf borderId="81" fillId="35" fontId="92" numFmtId="0" xfId="0" applyAlignment="1" applyBorder="1" applyFont="1">
      <alignment horizontal="center" readingOrder="0" vertical="bottom"/>
    </xf>
    <xf borderId="25" fillId="35" fontId="75" numFmtId="0" xfId="0" applyAlignment="1" applyBorder="1" applyFont="1">
      <alignment horizontal="center" vertical="center"/>
    </xf>
    <xf borderId="82" fillId="35" fontId="92" numFmtId="0" xfId="0" applyAlignment="1" applyBorder="1" applyFont="1">
      <alignment horizontal="center" vertical="bottom"/>
    </xf>
    <xf borderId="32" fillId="0" fontId="92" numFmtId="0" xfId="0" applyAlignment="1" applyBorder="1" applyFont="1">
      <alignment horizontal="center" readingOrder="0" vertical="bottom"/>
    </xf>
    <xf borderId="81" fillId="10" fontId="4" numFmtId="0" xfId="0" applyAlignment="1" applyBorder="1" applyFont="1">
      <alignment vertical="bottom"/>
    </xf>
    <xf borderId="81" fillId="35" fontId="92" numFmtId="0" xfId="0" applyAlignment="1" applyBorder="1" applyFont="1">
      <alignment horizontal="center" vertical="bottom"/>
    </xf>
    <xf borderId="81" fillId="51" fontId="4" numFmtId="0" xfId="0" applyAlignment="1" applyBorder="1" applyFont="1">
      <alignment vertical="bottom"/>
    </xf>
    <xf borderId="81" fillId="0" fontId="4" numFmtId="0" xfId="0" applyAlignment="1" applyBorder="1" applyFont="1">
      <alignment vertical="bottom"/>
    </xf>
    <xf borderId="83" fillId="35" fontId="92" numFmtId="0" xfId="0" applyAlignment="1" applyBorder="1" applyFont="1">
      <alignment horizontal="center" vertical="bottom"/>
    </xf>
    <xf borderId="13" fillId="22" fontId="101" numFmtId="0" xfId="0" applyAlignment="1" applyBorder="1" applyFont="1">
      <alignment horizontal="center" readingOrder="0" vertical="bottom"/>
    </xf>
    <xf borderId="13" fillId="22" fontId="92" numFmtId="0" xfId="0" applyAlignment="1" applyBorder="1" applyFont="1">
      <alignment horizontal="center" readingOrder="0" vertical="bottom"/>
    </xf>
    <xf borderId="25" fillId="35" fontId="92" numFmtId="0" xfId="0" applyAlignment="1" applyBorder="1" applyFont="1">
      <alignment horizontal="center" vertical="bottom"/>
    </xf>
    <xf borderId="25" fillId="35" fontId="92" numFmtId="0" xfId="0" applyAlignment="1" applyBorder="1" applyFont="1">
      <alignment horizontal="center" readingOrder="0" vertical="bottom"/>
    </xf>
    <xf borderId="25" fillId="51" fontId="4" numFmtId="0" xfId="0" applyAlignment="1" applyBorder="1" applyFont="1">
      <alignment vertical="bottom"/>
    </xf>
    <xf borderId="19" fillId="0" fontId="92" numFmtId="0" xfId="0" applyAlignment="1" applyBorder="1" applyFont="1">
      <alignment horizontal="center" readingOrder="0" vertical="bottom"/>
    </xf>
    <xf borderId="84" fillId="34" fontId="92" numFmtId="49" xfId="0" applyAlignment="1" applyBorder="1" applyFont="1" applyNumberFormat="1">
      <alignment horizontal="center" vertical="bottom"/>
    </xf>
    <xf borderId="84" fillId="34" fontId="92" numFmtId="49" xfId="0" applyAlignment="1" applyBorder="1" applyFont="1" applyNumberFormat="1">
      <alignment horizontal="center" readingOrder="0" vertical="bottom"/>
    </xf>
    <xf borderId="85" fillId="34" fontId="92" numFmtId="0" xfId="0" applyAlignment="1" applyBorder="1" applyFont="1">
      <alignment horizontal="center" readingOrder="0" vertical="bottom"/>
    </xf>
    <xf borderId="84" fillId="34" fontId="92" numFmtId="0" xfId="0" applyAlignment="1" applyBorder="1" applyFont="1">
      <alignment horizontal="center" readingOrder="0" vertical="bottom"/>
    </xf>
    <xf borderId="25" fillId="34" fontId="102" numFmtId="0" xfId="0" applyAlignment="1" applyBorder="1" applyFont="1">
      <alignment horizontal="center" readingOrder="0" textRotation="180" vertical="center"/>
    </xf>
    <xf borderId="84" fillId="34" fontId="4" numFmtId="0" xfId="0" applyAlignment="1" applyBorder="1" applyFont="1">
      <alignment vertical="bottom"/>
    </xf>
    <xf borderId="84" fillId="0" fontId="92" numFmtId="0" xfId="0" applyAlignment="1" applyBorder="1" applyFont="1">
      <alignment horizontal="center" readingOrder="0" vertical="bottom"/>
    </xf>
    <xf borderId="83" fillId="0" fontId="13" numFmtId="0" xfId="0" applyAlignment="1" applyBorder="1" applyFont="1">
      <alignment horizontal="center" vertical="bottom"/>
    </xf>
    <xf borderId="84" fillId="0" fontId="4" numFmtId="0" xfId="0" applyAlignment="1" applyBorder="1" applyFont="1">
      <alignment vertical="bottom"/>
    </xf>
    <xf borderId="18" fillId="22" fontId="18" numFmtId="0" xfId="0" applyAlignment="1" applyBorder="1" applyFont="1">
      <alignment horizontal="center" readingOrder="0" vertical="bottom"/>
    </xf>
    <xf borderId="13" fillId="34" fontId="92" numFmtId="0" xfId="0" applyAlignment="1" applyBorder="1" applyFont="1">
      <alignment horizontal="center" vertical="bottom"/>
    </xf>
    <xf borderId="13" fillId="34" fontId="92" numFmtId="49" xfId="0" applyAlignment="1" applyBorder="1" applyFont="1" applyNumberFormat="1">
      <alignment horizontal="center" readingOrder="0" vertical="bottom"/>
    </xf>
    <xf borderId="13" fillId="34" fontId="92" numFmtId="0" xfId="0" applyAlignment="1" applyBorder="1" applyFont="1">
      <alignment horizontal="center" readingOrder="0" vertical="bottom"/>
    </xf>
    <xf borderId="13" fillId="34" fontId="75" numFmtId="0" xfId="0" applyAlignment="1" applyBorder="1" applyFont="1">
      <alignment readingOrder="0" vertical="bottom"/>
    </xf>
    <xf borderId="17" fillId="0" fontId="13" numFmtId="0" xfId="0" applyAlignment="1" applyBorder="1" applyFont="1">
      <alignment horizontal="center" vertical="bottom"/>
    </xf>
    <xf borderId="18" fillId="37" fontId="98" numFmtId="0" xfId="0" applyAlignment="1" applyBorder="1" applyFont="1">
      <alignment horizontal="center" readingOrder="0" vertical="bottom"/>
    </xf>
    <xf borderId="17" fillId="34" fontId="92" numFmtId="0" xfId="0" applyAlignment="1" applyBorder="1" applyFont="1">
      <alignment horizontal="center" vertical="bottom"/>
    </xf>
    <xf borderId="17" fillId="34" fontId="92" numFmtId="0" xfId="0" applyAlignment="1" applyBorder="1" applyFont="1">
      <alignment horizontal="center" readingOrder="0" vertical="bottom"/>
    </xf>
    <xf borderId="17" fillId="34" fontId="4" numFmtId="0" xfId="0" applyAlignment="1" applyBorder="1" applyFont="1">
      <alignment vertical="bottom"/>
    </xf>
    <xf borderId="81" fillId="34" fontId="92" numFmtId="0" xfId="0" applyAlignment="1" applyBorder="1" applyFont="1">
      <alignment horizontal="center" vertical="bottom"/>
    </xf>
    <xf borderId="32" fillId="34" fontId="92" numFmtId="0" xfId="0" applyAlignment="1" applyBorder="1" applyFont="1">
      <alignment horizontal="center" readingOrder="0" vertical="bottom"/>
    </xf>
    <xf borderId="81" fillId="34" fontId="92" numFmtId="0" xfId="0" applyAlignment="1" applyBorder="1" applyFont="1">
      <alignment horizontal="center" readingOrder="0" vertical="bottom"/>
    </xf>
    <xf borderId="81" fillId="0" fontId="7" numFmtId="0" xfId="0" applyBorder="1" applyFont="1"/>
    <xf borderId="81" fillId="34" fontId="4" numFmtId="0" xfId="0" applyAlignment="1" applyBorder="1" applyFont="1">
      <alignment vertical="bottom"/>
    </xf>
    <xf borderId="81" fillId="0" fontId="13" numFmtId="0" xfId="0" applyAlignment="1" applyBorder="1" applyFont="1">
      <alignment horizontal="center" vertical="bottom"/>
    </xf>
    <xf borderId="83" fillId="35" fontId="92" numFmtId="0" xfId="0" applyAlignment="1" applyBorder="1" applyFont="1">
      <alignment horizontal="center" readingOrder="0" vertical="bottom"/>
    </xf>
    <xf borderId="83" fillId="35" fontId="75" numFmtId="0" xfId="0" applyAlignment="1" applyBorder="1" applyFont="1">
      <alignment horizontal="center" vertical="center"/>
    </xf>
    <xf borderId="17" fillId="27" fontId="92" numFmtId="0" xfId="0" applyAlignment="1" applyBorder="1" applyFont="1">
      <alignment horizontal="center" vertical="bottom"/>
    </xf>
    <xf borderId="84" fillId="27" fontId="92" numFmtId="49" xfId="0" applyAlignment="1" applyBorder="1" applyFont="1" applyNumberFormat="1">
      <alignment horizontal="center" readingOrder="0" vertical="bottom"/>
    </xf>
    <xf borderId="25" fillId="27" fontId="103" numFmtId="0" xfId="0" applyAlignment="1" applyBorder="1" applyFont="1">
      <alignment horizontal="center" readingOrder="0" textRotation="180" vertical="center"/>
    </xf>
    <xf borderId="17" fillId="27" fontId="92" numFmtId="0" xfId="0" applyAlignment="1" applyBorder="1" applyFont="1">
      <alignment horizontal="center" vertical="bottom"/>
    </xf>
    <xf borderId="25" fillId="27" fontId="104" numFmtId="0" xfId="0" applyAlignment="1" applyBorder="1" applyFont="1">
      <alignment horizontal="center" readingOrder="0" textRotation="180" vertical="center"/>
    </xf>
    <xf borderId="17" fillId="27" fontId="13" numFmtId="0" xfId="0" applyAlignment="1" applyBorder="1" applyFont="1">
      <alignment horizontal="center" readingOrder="0" vertical="bottom"/>
    </xf>
    <xf borderId="14" fillId="27" fontId="92" numFmtId="49" xfId="0" applyAlignment="1" applyBorder="1" applyFont="1" applyNumberFormat="1">
      <alignment horizontal="center" readingOrder="0" vertical="bottom"/>
    </xf>
    <xf borderId="17" fillId="27" fontId="92" numFmtId="169" xfId="0" applyAlignment="1" applyBorder="1" applyFont="1" applyNumberFormat="1">
      <alignment horizontal="center" readingOrder="0" vertical="bottom"/>
    </xf>
    <xf borderId="17" fillId="27" fontId="92" numFmtId="0" xfId="0" applyAlignment="1" applyBorder="1" applyFont="1">
      <alignment horizontal="center" readingOrder="0" vertical="bottom"/>
    </xf>
    <xf borderId="17" fillId="27" fontId="4" numFmtId="0" xfId="0" applyAlignment="1" applyBorder="1" applyFont="1">
      <alignment vertical="bottom"/>
    </xf>
    <xf borderId="0" fillId="0" fontId="105" numFmtId="0" xfId="0" applyAlignment="1" applyFont="1">
      <alignment vertical="bottom"/>
    </xf>
    <xf borderId="86" fillId="13" fontId="106" numFmtId="0" xfId="0" applyAlignment="1" applyBorder="1" applyFont="1">
      <alignment horizontal="center" readingOrder="0" vertical="bottom"/>
    </xf>
    <xf borderId="42" fillId="0" fontId="34" numFmtId="0" xfId="0" applyAlignment="1" applyBorder="1" applyFont="1">
      <alignment horizontal="left" readingOrder="0" vertical="bottom"/>
    </xf>
    <xf borderId="44" fillId="0" fontId="107" numFmtId="0" xfId="0" applyAlignment="1" applyBorder="1" applyFont="1">
      <alignment horizontal="center" vertical="bottom"/>
    </xf>
    <xf borderId="0" fillId="0" fontId="12" numFmtId="0" xfId="0" applyAlignment="1" applyFont="1">
      <alignment horizontal="center" vertical="bottom"/>
    </xf>
    <xf borderId="87" fillId="13" fontId="108" numFmtId="0" xfId="0" applyAlignment="1" applyBorder="1" applyFont="1">
      <alignment horizontal="center" vertical="center"/>
    </xf>
    <xf borderId="55" fillId="0" fontId="15" numFmtId="0" xfId="0" applyBorder="1" applyFont="1"/>
    <xf borderId="88" fillId="0" fontId="34" numFmtId="0" xfId="0" applyAlignment="1" applyBorder="1" applyFont="1">
      <alignment horizontal="left" readingOrder="0" vertical="bottom"/>
    </xf>
    <xf borderId="89" fillId="0" fontId="107" numFmtId="0" xfId="0" applyAlignment="1" applyBorder="1" applyFont="1">
      <alignment horizontal="center" vertical="bottom"/>
    </xf>
    <xf borderId="0" fillId="0" fontId="13" numFmtId="0" xfId="0" applyAlignment="1" applyFont="1">
      <alignment horizontal="center"/>
    </xf>
    <xf borderId="90" fillId="0" fontId="7" numFmtId="0" xfId="0" applyBorder="1" applyFont="1"/>
    <xf borderId="91" fillId="0" fontId="7" numFmtId="0" xfId="0" applyBorder="1" applyFont="1"/>
    <xf borderId="90" fillId="38" fontId="73" numFmtId="0" xfId="0" applyAlignment="1" applyBorder="1" applyFont="1">
      <alignment horizontal="center" vertical="bottom"/>
    </xf>
    <xf borderId="16" fillId="38" fontId="13" numFmtId="0" xfId="0" applyAlignment="1" applyBorder="1" applyFont="1">
      <alignment horizontal="center" readingOrder="0" vertical="bottom"/>
    </xf>
    <xf borderId="88" fillId="20" fontId="4" numFmtId="0" xfId="0" applyAlignment="1" applyBorder="1" applyFont="1">
      <alignment vertical="bottom"/>
    </xf>
    <xf borderId="0" fillId="0" fontId="13" numFmtId="0" xfId="0" applyAlignment="1" applyFont="1">
      <alignment horizontal="center" vertical="bottom"/>
    </xf>
    <xf borderId="25" fillId="0" fontId="13" numFmtId="0" xfId="0" applyAlignment="1" applyBorder="1" applyFont="1">
      <alignment horizontal="center" vertical="bottom"/>
    </xf>
    <xf borderId="25" fillId="0" fontId="13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31" fillId="0" fontId="13" numFmtId="0" xfId="0" applyAlignment="1" applyBorder="1" applyFont="1">
      <alignment horizontal="center" vertical="bottom"/>
    </xf>
    <xf borderId="88" fillId="0" fontId="34" numFmtId="0" xfId="0" applyAlignment="1" applyBorder="1" applyFont="1">
      <alignment horizontal="left" readingOrder="0" shrinkToFit="0" vertical="bottom" wrapText="1"/>
    </xf>
    <xf borderId="88" fillId="0" fontId="7" numFmtId="0" xfId="0" applyBorder="1" applyFont="1"/>
    <xf borderId="22" fillId="0" fontId="13" numFmtId="0" xfId="0" applyAlignment="1" applyBorder="1" applyFont="1">
      <alignment horizontal="center" readingOrder="0" vertical="bottom"/>
    </xf>
    <xf borderId="25" fillId="0" fontId="13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31" fillId="0" fontId="13" numFmtId="0" xfId="0" applyAlignment="1" applyBorder="1" applyFont="1">
      <alignment horizontal="center" readingOrder="0" vertical="bottom"/>
    </xf>
    <xf borderId="45" fillId="0" fontId="34" numFmtId="0" xfId="0" applyAlignment="1" applyBorder="1" applyFont="1">
      <alignment horizontal="left" readingOrder="0" shrinkToFit="0" vertical="bottom" wrapText="1"/>
    </xf>
    <xf borderId="46" fillId="0" fontId="107" numFmtId="0" xfId="0" applyAlignment="1" applyBorder="1" applyFont="1">
      <alignment horizontal="center" vertical="bottom"/>
    </xf>
    <xf borderId="0" fillId="0" fontId="13" numFmtId="0" xfId="0" applyAlignment="1" applyFont="1">
      <alignment shrinkToFit="0" vertical="bottom" wrapText="1"/>
    </xf>
    <xf borderId="0" fillId="0" fontId="13" numFmtId="0" xfId="0" applyAlignment="1" applyFont="1">
      <alignment horizontal="center"/>
    </xf>
    <xf borderId="90" fillId="38" fontId="73" numFmtId="0" xfId="0" applyAlignment="1" applyBorder="1" applyFont="1">
      <alignment horizontal="center"/>
    </xf>
    <xf borderId="16" fillId="38" fontId="13" numFmtId="0" xfId="0" applyAlignment="1" applyBorder="1" applyFont="1">
      <alignment horizontal="center" readingOrder="0"/>
    </xf>
    <xf borderId="0" fillId="0" fontId="13" numFmtId="0" xfId="0" applyAlignment="1" applyFont="1">
      <alignment shrinkToFit="0" vertical="bottom" wrapText="1"/>
    </xf>
    <xf borderId="88" fillId="20" fontId="73" numFmtId="0" xfId="0" applyAlignment="1" applyBorder="1" applyFont="1">
      <alignment horizontal="center" vertical="center"/>
    </xf>
    <xf borderId="88" fillId="20" fontId="4" numFmtId="0" xfId="0" applyAlignment="1" applyBorder="1" applyFont="1">
      <alignment vertical="bottom"/>
    </xf>
    <xf borderId="0" fillId="0" fontId="1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90" fillId="38" fontId="4" numFmtId="0" xfId="0" applyAlignment="1" applyBorder="1" applyFont="1">
      <alignment vertical="bottom"/>
    </xf>
    <xf borderId="16" fillId="38" fontId="109" numFmtId="0" xfId="0" applyAlignment="1" applyBorder="1" applyFont="1">
      <alignment horizontal="center" readingOrder="0" vertical="bottom"/>
    </xf>
    <xf borderId="88" fillId="0" fontId="110" numFmtId="0" xfId="0" applyAlignment="1" applyBorder="1" applyFont="1">
      <alignment horizontal="center" vertical="center"/>
    </xf>
    <xf borderId="92" fillId="0" fontId="7" numFmtId="0" xfId="0" applyBorder="1" applyFont="1"/>
    <xf borderId="75" fillId="0" fontId="7" numFmtId="0" xfId="0" applyBorder="1" applyFont="1"/>
    <xf borderId="76" fillId="0" fontId="13" numFmtId="0" xfId="0" applyAlignment="1" applyBorder="1" applyFont="1">
      <alignment horizontal="center" readingOrder="0" vertical="bottom"/>
    </xf>
    <xf borderId="75" fillId="0" fontId="13" numFmtId="0" xfId="0" applyAlignment="1" applyBorder="1" applyFont="1">
      <alignment horizontal="center" readingOrder="0" vertical="bottom"/>
    </xf>
    <xf borderId="48" fillId="0" fontId="13" numFmtId="0" xfId="0" applyAlignment="1" applyBorder="1" applyFont="1">
      <alignment horizontal="center" readingOrder="0" vertical="bottom"/>
    </xf>
    <xf borderId="48" fillId="0" fontId="13" numFmtId="0" xfId="0" applyAlignment="1" applyBorder="1" applyFont="1">
      <alignment horizontal="center" vertical="bottom"/>
    </xf>
    <xf borderId="53" fillId="0" fontId="13" numFmtId="0" xfId="0" applyAlignment="1" applyBorder="1" applyFont="1">
      <alignment horizontal="center" vertical="bottom"/>
    </xf>
    <xf borderId="86" fillId="13" fontId="74" numFmtId="0" xfId="0" applyAlignment="1" applyBorder="1" applyFont="1">
      <alignment horizontal="center" vertical="bottom"/>
    </xf>
    <xf borderId="93" fillId="0" fontId="7" numFmtId="0" xfId="0" applyBorder="1" applyFont="1"/>
    <xf borderId="93" fillId="38" fontId="73" numFmtId="0" xfId="0" applyAlignment="1" applyBorder="1" applyFont="1">
      <alignment horizontal="center" vertical="bottom"/>
    </xf>
    <xf borderId="16" fillId="38" fontId="13" numFmtId="0" xfId="0" applyAlignment="1" applyBorder="1" applyFont="1">
      <alignment horizontal="center" vertical="bottom"/>
    </xf>
    <xf borderId="55" fillId="20" fontId="4" numFmtId="0" xfId="0" applyAlignment="1" applyBorder="1" applyFont="1">
      <alignment vertical="bottom"/>
    </xf>
    <xf borderId="55" fillId="0" fontId="7" numFmtId="0" xfId="0" applyBorder="1" applyFont="1"/>
    <xf borderId="25" fillId="0" fontId="4" numFmtId="0" xfId="0" applyAlignment="1" applyBorder="1" applyFont="1">
      <alignment vertical="bottom"/>
    </xf>
    <xf borderId="94" fillId="38" fontId="73" numFmtId="0" xfId="0" applyAlignment="1" applyBorder="1" applyFont="1">
      <alignment horizontal="center" vertical="bottom"/>
    </xf>
    <xf borderId="26" fillId="38" fontId="13" numFmtId="0" xfId="0" applyAlignment="1" applyBorder="1" applyFont="1">
      <alignment horizontal="center" readingOrder="0" vertical="bottom"/>
    </xf>
    <xf borderId="26" fillId="38" fontId="13" numFmtId="0" xfId="0" applyAlignment="1" applyBorder="1" applyFont="1">
      <alignment horizontal="center" vertical="bottom"/>
    </xf>
    <xf borderId="95" fillId="0" fontId="7" numFmtId="0" xfId="0" applyBorder="1" applyFont="1"/>
    <xf borderId="55" fillId="20" fontId="73" numFmtId="0" xfId="0" applyAlignment="1" applyBorder="1" applyFont="1">
      <alignment horizontal="center" vertical="center"/>
    </xf>
    <xf borderId="0" fillId="0" fontId="4" numFmtId="0" xfId="0" applyAlignment="1" applyFont="1">
      <alignment vertical="top"/>
    </xf>
    <xf borderId="96" fillId="38" fontId="4" numFmtId="0" xfId="0" applyAlignment="1" applyBorder="1" applyFont="1">
      <alignment vertical="bottom"/>
    </xf>
    <xf borderId="15" fillId="38" fontId="4" numFmtId="0" xfId="0" applyAlignment="1" applyBorder="1" applyFont="1">
      <alignment vertical="bottom"/>
    </xf>
    <xf borderId="97" fillId="0" fontId="7" numFmtId="0" xfId="0" applyBorder="1" applyFont="1"/>
    <xf borderId="55" fillId="0" fontId="110" numFmtId="0" xfId="0" applyAlignment="1" applyBorder="1" applyFont="1">
      <alignment horizontal="center" readingOrder="0" vertical="center"/>
    </xf>
    <xf borderId="98" fillId="0" fontId="7" numFmtId="0" xfId="0" applyBorder="1" applyFont="1"/>
    <xf borderId="53" fillId="0" fontId="4" numFmtId="0" xfId="0" applyAlignment="1" applyBorder="1" applyFont="1">
      <alignment vertical="bottom"/>
    </xf>
    <xf borderId="55" fillId="13" fontId="74" numFmtId="0" xfId="0" applyAlignment="1" applyBorder="1" applyFont="1">
      <alignment horizontal="center" vertical="bottom"/>
    </xf>
    <xf borderId="55" fillId="38" fontId="73" numFmtId="0" xfId="0" applyAlignment="1" applyBorder="1" applyFont="1">
      <alignment horizontal="center" vertical="bottom"/>
    </xf>
    <xf borderId="16" fillId="0" fontId="13" numFmtId="0" xfId="0" applyAlignment="1" applyBorder="1" applyFont="1">
      <alignment horizontal="center" readingOrder="0" vertical="bottom"/>
    </xf>
    <xf borderId="17" fillId="0" fontId="13" numFmtId="0" xfId="0" applyAlignment="1" applyBorder="1" applyFont="1">
      <alignment horizontal="center" readingOrder="0" vertical="bottom"/>
    </xf>
    <xf borderId="91" fillId="0" fontId="13" numFmtId="0" xfId="0" applyAlignment="1" applyBorder="1" applyFont="1">
      <alignment horizontal="center" readingOrder="0" vertical="bottom"/>
    </xf>
    <xf borderId="55" fillId="38" fontId="4" numFmtId="0" xfId="0" applyAlignment="1" applyBorder="1" applyFont="1">
      <alignment vertical="bottom"/>
    </xf>
    <xf borderId="53" fillId="0" fontId="13" numFmtId="0" xfId="0" applyAlignment="1" applyBorder="1" applyFont="1">
      <alignment horizontal="center" readingOrder="0" vertical="bottom"/>
    </xf>
    <xf borderId="0" fillId="38" fontId="13" numFmtId="0" xfId="0" applyAlignment="1" applyFont="1">
      <alignment horizontal="center" vertical="bottom"/>
    </xf>
    <xf borderId="0" fillId="38" fontId="13" numFmtId="0" xfId="0" applyAlignment="1" applyFont="1">
      <alignment horizontal="center" readingOrder="0" vertical="bottom"/>
    </xf>
    <xf borderId="16" fillId="0" fontId="13" numFmtId="0" xfId="0" applyAlignment="1" applyBorder="1" applyFont="1">
      <alignment horizontal="center" vertical="bottom"/>
    </xf>
    <xf borderId="0" fillId="38" fontId="4" numFmtId="0" xfId="0" applyAlignment="1" applyFont="1">
      <alignment vertical="bottom"/>
    </xf>
    <xf borderId="16" fillId="0" fontId="4" numFmtId="0" xfId="0" applyAlignment="1" applyBorder="1" applyFont="1">
      <alignment vertical="bottom"/>
    </xf>
    <xf borderId="98" fillId="13" fontId="74" numFmtId="0" xfId="0" applyAlignment="1" applyBorder="1" applyFont="1">
      <alignment horizontal="center" vertical="bottom"/>
    </xf>
    <xf borderId="48" fillId="0" fontId="7" numFmtId="0" xfId="0" applyBorder="1" applyFont="1"/>
    <xf borderId="53" fillId="0" fontId="7" numFmtId="0" xfId="0" applyBorder="1" applyFont="1"/>
    <xf borderId="93" fillId="38" fontId="4" numFmtId="0" xfId="0" applyAlignment="1" applyBorder="1" applyFont="1">
      <alignment vertical="bottom"/>
    </xf>
    <xf borderId="16" fillId="38" fontId="4" numFmtId="0" xfId="0" applyAlignment="1" applyBorder="1" applyFont="1">
      <alignment vertical="bottom"/>
    </xf>
    <xf borderId="55" fillId="0" fontId="13" numFmtId="0" xfId="0" applyAlignment="1" applyBorder="1" applyFont="1">
      <alignment horizontal="center" vertical="bottom"/>
    </xf>
    <xf borderId="55" fillId="0" fontId="4" numFmtId="0" xfId="0" applyAlignment="1" applyBorder="1" applyFont="1">
      <alignment vertical="bottom"/>
    </xf>
    <xf borderId="31" fillId="0" fontId="4" numFmtId="0" xfId="0" applyAlignment="1" applyBorder="1" applyFont="1">
      <alignment vertical="bottom"/>
    </xf>
    <xf borderId="93" fillId="0" fontId="4" numFmtId="0" xfId="0" applyAlignment="1" applyBorder="1" applyFont="1">
      <alignment vertical="bottom"/>
    </xf>
    <xf borderId="91" fillId="0" fontId="4" numFmtId="0" xfId="0" applyAlignment="1" applyBorder="1" applyFont="1">
      <alignment vertical="bottom"/>
    </xf>
    <xf borderId="98" fillId="0" fontId="4" numFmtId="0" xfId="0" applyAlignment="1" applyBorder="1" applyFont="1">
      <alignment vertical="bottom"/>
    </xf>
    <xf borderId="0" fillId="0" fontId="111" numFmtId="0" xfId="0" applyAlignment="1" applyFont="1">
      <alignment readingOrder="0"/>
    </xf>
    <xf borderId="0" fillId="0" fontId="35" numFmtId="0" xfId="0" applyAlignment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86" fillId="13" fontId="35" numFmtId="0" xfId="0" applyAlignment="1" applyBorder="1" applyFont="1">
      <alignment horizontal="center" vertical="center"/>
    </xf>
    <xf borderId="79" fillId="13" fontId="17" numFmtId="0" xfId="0" applyAlignment="1" applyBorder="1" applyFont="1">
      <alignment horizontal="center" readingOrder="0" vertical="center"/>
    </xf>
    <xf borderId="99" fillId="22" fontId="38" numFmtId="0" xfId="0" applyAlignment="1" applyBorder="1" applyFont="1">
      <alignment readingOrder="0" vertical="bottom"/>
    </xf>
    <xf borderId="100" fillId="12" fontId="20" numFmtId="10" xfId="0" applyAlignment="1" applyBorder="1" applyFont="1" applyNumberFormat="1">
      <alignment horizontal="center" readingOrder="0" vertical="center"/>
    </xf>
    <xf borderId="101" fillId="0" fontId="7" numFmtId="0" xfId="0" applyBorder="1" applyFont="1"/>
    <xf borderId="102" fillId="22" fontId="38" numFmtId="0" xfId="0" applyAlignment="1" applyBorder="1" applyFont="1">
      <alignment readingOrder="0" vertical="bottom"/>
    </xf>
    <xf borderId="94" fillId="12" fontId="20" numFmtId="10" xfId="0" applyAlignment="1" applyBorder="1" applyFont="1" applyNumberFormat="1">
      <alignment horizontal="center" readingOrder="0" vertical="center"/>
    </xf>
    <xf borderId="102" fillId="22" fontId="37" numFmtId="0" xfId="0" applyAlignment="1" applyBorder="1" applyFont="1">
      <alignment readingOrder="0" vertical="bottom"/>
    </xf>
    <xf borderId="103" fillId="22" fontId="37" numFmtId="0" xfId="0" applyAlignment="1" applyBorder="1" applyFont="1">
      <alignment readingOrder="0" vertical="bottom"/>
    </xf>
    <xf borderId="104" fillId="22" fontId="37" numFmtId="0" xfId="0" applyAlignment="1" applyBorder="1" applyFont="1">
      <alignment readingOrder="0" vertical="bottom"/>
    </xf>
    <xf borderId="105" fillId="12" fontId="20" numFmtId="10" xfId="0" applyAlignment="1" applyBorder="1" applyFont="1" applyNumberFormat="1">
      <alignment horizontal="center" readingOrder="0" vertical="center"/>
    </xf>
    <xf borderId="106" fillId="0" fontId="7" numFmtId="0" xfId="0" applyBorder="1" applyFont="1"/>
    <xf borderId="0" fillId="12" fontId="17" numFmtId="0" xfId="0" applyAlignment="1" applyFont="1">
      <alignment horizontal="center" readingOrder="0" vertical="center"/>
    </xf>
    <xf borderId="0" fillId="13" fontId="17" numFmtId="0" xfId="0" applyAlignment="1" applyFont="1">
      <alignment horizontal="center" readingOrder="0" vertical="center"/>
    </xf>
    <xf borderId="0" fillId="22" fontId="37" numFmtId="0" xfId="0" applyAlignment="1" applyFont="1">
      <alignment readingOrder="0"/>
    </xf>
    <xf borderId="0" fillId="22" fontId="38" numFmtId="0" xfId="0" applyAlignment="1" applyFont="1">
      <alignment readingOrder="0"/>
    </xf>
    <xf borderId="0" fillId="13" fontId="108" numFmtId="0" xfId="0" applyAlignment="1" applyFont="1">
      <alignment horizontal="center" readingOrder="0"/>
    </xf>
    <xf borderId="0" fillId="22" fontId="112" numFmtId="0" xfId="0" applyAlignment="1" applyFont="1">
      <alignment readingOrder="0"/>
    </xf>
    <xf borderId="0" fillId="13" fontId="12" numFmtId="0" xfId="0" applyAlignment="1" applyFont="1">
      <alignment horizontal="center" readingOrder="0" vertical="center"/>
    </xf>
    <xf borderId="0" fillId="13" fontId="17" numFmtId="0" xfId="0" applyAlignment="1" applyFont="1">
      <alignment horizontal="center" readingOrder="0"/>
    </xf>
    <xf borderId="0" fillId="22" fontId="37" numFmtId="0" xfId="0" applyAlignment="1" applyFont="1">
      <alignment readingOrder="0" shrinkToFit="0" wrapText="1"/>
    </xf>
    <xf borderId="0" fillId="13" fontId="35" numFmtId="0" xfId="0" applyAlignment="1" applyFont="1">
      <alignment readingOrder="0"/>
    </xf>
    <xf borderId="0" fillId="13" fontId="113" numFmtId="0" xfId="0" applyAlignment="1" applyFont="1">
      <alignment readingOrder="0"/>
    </xf>
    <xf borderId="0" fillId="13" fontId="15" numFmtId="0" xfId="0" applyFont="1"/>
    <xf borderId="22" fillId="0" fontId="114" numFmtId="0" xfId="0" applyAlignment="1" applyBorder="1" applyFont="1">
      <alignment readingOrder="0" vertical="bottom"/>
    </xf>
    <xf borderId="0" fillId="13" fontId="12" numFmtId="0" xfId="0" applyAlignment="1" applyFont="1">
      <alignment readingOrder="0"/>
    </xf>
    <xf borderId="0" fillId="13" fontId="12" numFmtId="0" xfId="0" applyAlignment="1" applyFont="1">
      <alignment horizontal="center" readingOrder="0"/>
    </xf>
    <xf borderId="19" fillId="0" fontId="13" numFmtId="0" xfId="0" applyAlignment="1" applyBorder="1" applyFont="1">
      <alignment readingOrder="0" vertical="bottom"/>
    </xf>
    <xf borderId="0" fillId="0" fontId="115" numFmtId="0" xfId="0" applyAlignment="1" applyFont="1">
      <alignment readingOrder="0"/>
    </xf>
    <xf borderId="0" fillId="12" fontId="116" numFmtId="0" xfId="0" applyAlignment="1" applyFont="1">
      <alignment readingOrder="0"/>
    </xf>
    <xf borderId="21" fillId="0" fontId="13" numFmtId="0" xfId="0" applyAlignment="1" applyBorder="1" applyFont="1">
      <alignment readingOrder="0" vertical="bottom"/>
    </xf>
    <xf borderId="48" fillId="0" fontId="34" numFmtId="0" xfId="0" applyAlignment="1" applyBorder="1" applyFont="1">
      <alignment readingOrder="0"/>
    </xf>
    <xf borderId="77" fillId="0" fontId="13" numFmtId="0" xfId="0" applyAlignment="1" applyBorder="1" applyFont="1">
      <alignment readingOrder="0" vertical="bottom"/>
    </xf>
    <xf borderId="48" fillId="0" fontId="115" numFmtId="0" xfId="0" applyAlignment="1" applyBorder="1" applyFont="1">
      <alignment readingOrder="0"/>
    </xf>
    <xf borderId="107" fillId="13" fontId="12" numFmtId="0" xfId="0" applyAlignment="1" applyBorder="1" applyFont="1">
      <alignment readingOrder="0"/>
    </xf>
    <xf borderId="79" fillId="13" fontId="17" numFmtId="0" xfId="0" applyAlignment="1" applyBorder="1" applyFont="1">
      <alignment readingOrder="0"/>
    </xf>
    <xf borderId="108" fillId="0" fontId="13" numFmtId="0" xfId="0" applyAlignment="1" applyBorder="1" applyFont="1">
      <alignment readingOrder="0" vertical="bottom"/>
    </xf>
    <xf borderId="79" fillId="0" fontId="13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48" fillId="0" fontId="13" numFmtId="0" xfId="0" applyAlignment="1" applyBorder="1" applyFont="1">
      <alignment readingOrder="0" vertical="bottom"/>
    </xf>
    <xf borderId="48" fillId="13" fontId="12" numFmtId="0" xfId="0" applyAlignment="1" applyBorder="1" applyFont="1">
      <alignment readingOrder="0"/>
    </xf>
    <xf borderId="0" fillId="13" fontId="17" numFmtId="0" xfId="0" applyAlignment="1" applyFont="1">
      <alignment readingOrder="0"/>
    </xf>
    <xf borderId="15" fillId="0" fontId="13" numFmtId="0" xfId="0" applyAlignment="1" applyBorder="1" applyFont="1">
      <alignment readingOrder="0" vertical="bottom"/>
    </xf>
    <xf borderId="21" fillId="13" fontId="17" numFmtId="0" xfId="0" applyAlignment="1" applyBorder="1" applyFont="1">
      <alignment readingOrder="0"/>
    </xf>
    <xf borderId="109" fillId="0" fontId="13" numFmtId="0" xfId="0" applyAlignment="1" applyBorder="1" applyFont="1">
      <alignment readingOrder="0" vertical="bottom"/>
    </xf>
    <xf borderId="25" fillId="0" fontId="13" numFmtId="0" xfId="0" applyAlignment="1" applyBorder="1" applyFont="1">
      <alignment readingOrder="0" vertical="bottom"/>
    </xf>
    <xf borderId="75" fillId="0" fontId="13" numFmtId="0" xfId="0" applyAlignment="1" applyBorder="1" applyFont="1">
      <alignment readingOrder="0" vertical="bottom"/>
    </xf>
    <xf borderId="0" fillId="13" fontId="13" numFmtId="0" xfId="0" applyFont="1"/>
    <xf borderId="26" fillId="0" fontId="20" numFmtId="0" xfId="0" applyAlignment="1" applyBorder="1" applyFont="1">
      <alignment horizontal="center" readingOrder="0"/>
    </xf>
    <xf borderId="24" fillId="0" fontId="20" numFmtId="0" xfId="0" applyAlignment="1" applyBorder="1" applyFont="1">
      <alignment horizontal="center" readingOrder="0"/>
    </xf>
    <xf borderId="18" fillId="0" fontId="20" numFmtId="0" xfId="0" applyAlignment="1" applyBorder="1" applyFont="1">
      <alignment horizontal="center" readingOrder="0"/>
    </xf>
    <xf borderId="13" fillId="0" fontId="20" numFmtId="0" xfId="0" applyAlignment="1" applyBorder="1" applyFont="1">
      <alignment horizontal="center" readingOrder="0"/>
    </xf>
    <xf borderId="14" fillId="0" fontId="20" numFmtId="0" xfId="0" applyAlignment="1" applyBorder="1" applyFont="1">
      <alignment readingOrder="0"/>
    </xf>
    <xf borderId="13" fillId="0" fontId="20" numFmtId="0" xfId="0" applyAlignment="1" applyBorder="1" applyFont="1">
      <alignment readingOrder="0"/>
    </xf>
    <xf borderId="13" fillId="0" fontId="20" numFmtId="0" xfId="0" applyAlignment="1" applyBorder="1" applyFont="1">
      <alignment readingOrder="0" vertical="bottom"/>
    </xf>
    <xf borderId="24" fillId="0" fontId="13" numFmtId="0" xfId="0" applyAlignment="1" applyBorder="1" applyFont="1">
      <alignment horizontal="center" readingOrder="0" vertical="bottom"/>
    </xf>
    <xf borderId="24" fillId="0" fontId="13" numFmtId="0" xfId="0" applyAlignment="1" applyBorder="1" applyFont="1">
      <alignment horizontal="center" vertical="bottom"/>
    </xf>
    <xf borderId="0" fillId="0" fontId="117" numFmtId="0" xfId="0" applyAlignment="1" applyFont="1">
      <alignment readingOrder="0"/>
    </xf>
    <xf borderId="0" fillId="0" fontId="13" numFmtId="0" xfId="0" applyAlignment="1" applyFont="1">
      <alignment readingOrder="0"/>
    </xf>
    <xf borderId="0" fillId="12" fontId="118" numFmtId="0" xfId="0" applyAlignment="1" applyFont="1">
      <alignment readingOrder="0"/>
    </xf>
    <xf borderId="0" fillId="12" fontId="20" numFmtId="0" xfId="0" applyFont="1"/>
    <xf borderId="0" fillId="12" fontId="13" numFmtId="0" xfId="0" applyFont="1"/>
    <xf borderId="0" fillId="52" fontId="119" numFmtId="0" xfId="0" applyAlignment="1" applyFill="1" applyFont="1">
      <alignment readingOrder="0"/>
    </xf>
    <xf borderId="110" fillId="13" fontId="12" numFmtId="0" xfId="0" applyAlignment="1" applyBorder="1" applyFont="1">
      <alignment horizontal="center" readingOrder="0"/>
    </xf>
    <xf borderId="0" fillId="0" fontId="120" numFmtId="0" xfId="0" applyAlignment="1" applyFont="1">
      <alignment horizontal="center" readingOrder="0"/>
    </xf>
    <xf borderId="0" fillId="12" fontId="120" numFmtId="0" xfId="0" applyAlignment="1" applyFont="1">
      <alignment horizontal="center" readingOrder="0"/>
    </xf>
    <xf borderId="0" fillId="53" fontId="121" numFmtId="0" xfId="0" applyAlignment="1" applyFill="1" applyFont="1">
      <alignment readingOrder="0"/>
    </xf>
    <xf borderId="0" fillId="13" fontId="17" numFmtId="0" xfId="0" applyAlignment="1" applyFont="1">
      <alignment vertical="bottom"/>
    </xf>
    <xf borderId="0" fillId="13" fontId="122" numFmtId="0" xfId="0" applyAlignment="1" applyFont="1">
      <alignment horizontal="center" readingOrder="0" vertical="center"/>
    </xf>
    <xf borderId="0" fillId="13" fontId="35" numFmtId="0" xfId="0" applyAlignment="1" applyFont="1">
      <alignment shrinkToFit="0" vertical="top" wrapText="1"/>
    </xf>
    <xf borderId="19" fillId="7" fontId="20" numFmtId="0" xfId="0" applyAlignment="1" applyBorder="1" applyFont="1">
      <alignment readingOrder="0" shrinkToFit="0" vertical="bottom" wrapText="1"/>
    </xf>
    <xf borderId="21" fillId="7" fontId="20" numFmtId="0" xfId="0" applyAlignment="1" applyBorder="1" applyFont="1">
      <alignment readingOrder="0" shrinkToFit="0" vertical="bottom" wrapText="1"/>
    </xf>
    <xf borderId="21" fillId="0" fontId="20" numFmtId="0" xfId="0" applyAlignment="1" applyBorder="1" applyFont="1">
      <alignment readingOrder="0" shrinkToFit="0" vertical="top" wrapText="1"/>
    </xf>
    <xf borderId="21" fillId="0" fontId="20" numFmtId="0" xfId="0" applyAlignment="1" applyBorder="1" applyFont="1">
      <alignment shrinkToFit="0" vertical="top" wrapText="1"/>
    </xf>
    <xf borderId="14" fillId="0" fontId="20" numFmtId="0" xfId="0" applyAlignment="1" applyBorder="1" applyFont="1">
      <alignment readingOrder="0" shrinkToFit="0" vertical="top" wrapText="1"/>
    </xf>
    <xf borderId="16" fillId="0" fontId="13" numFmtId="0" xfId="0" applyAlignment="1" applyBorder="1" applyFont="1">
      <alignment readingOrder="0" vertical="bottom"/>
    </xf>
    <xf borderId="14" fillId="0" fontId="13" numFmtId="0" xfId="0" applyAlignment="1" applyBorder="1" applyFont="1">
      <alignment readingOrder="0" vertical="bottom"/>
    </xf>
    <xf borderId="0" fillId="13" fontId="17" numFmtId="0" xfId="0" applyAlignment="1" applyFont="1">
      <alignment horizontal="left" readingOrder="0" vertical="center"/>
    </xf>
    <xf borderId="0" fillId="13" fontId="123" numFmtId="0" xfId="0" applyAlignment="1" applyFont="1">
      <alignment horizontal="left" readingOrder="0" vertical="center"/>
    </xf>
    <xf borderId="0" fillId="13" fontId="124" numFmtId="0" xfId="0" applyFont="1"/>
    <xf borderId="0" fillId="12" fontId="124" numFmtId="0" xfId="0" applyFont="1"/>
    <xf borderId="0" fillId="54" fontId="73" numFmtId="0" xfId="0" applyAlignment="1" applyFill="1" applyFont="1">
      <alignment readingOrder="0"/>
    </xf>
    <xf borderId="0" fillId="12" fontId="125" numFmtId="0" xfId="0" applyFont="1"/>
    <xf borderId="0" fillId="0" fontId="126" numFmtId="0" xfId="0" applyAlignment="1" applyFont="1">
      <alignment readingOrder="0"/>
    </xf>
    <xf borderId="0" fillId="0" fontId="126" numFmtId="0" xfId="0" applyAlignment="1" applyFont="1">
      <alignment readingOrder="0" shrinkToFit="0" wrapText="1"/>
    </xf>
    <xf borderId="0" fillId="0" fontId="107" numFmtId="0" xfId="0" applyAlignment="1" applyFont="1">
      <alignment readingOrder="0" vertical="bottom"/>
    </xf>
    <xf borderId="0" fillId="7" fontId="107" numFmtId="0" xfId="0" applyAlignment="1" applyFont="1">
      <alignment horizontal="left" readingOrder="0"/>
    </xf>
    <xf borderId="0" fillId="37" fontId="17" numFmtId="0" xfId="0" applyAlignment="1" applyFont="1">
      <alignment horizontal="left" readingOrder="0" vertical="center"/>
    </xf>
    <xf borderId="13" fillId="37" fontId="38" numFmtId="0" xfId="0" applyAlignment="1" applyBorder="1" applyFont="1">
      <alignment horizontal="center" readingOrder="0" vertical="bottom"/>
    </xf>
    <xf borderId="19" fillId="37" fontId="38" numFmtId="0" xfId="0" applyAlignment="1" applyBorder="1" applyFont="1">
      <alignment horizontal="center" readingOrder="0" vertical="bottom"/>
    </xf>
    <xf borderId="18" fillId="0" fontId="13" numFmtId="0" xfId="0" applyAlignment="1" applyBorder="1" applyFont="1">
      <alignment readingOrder="0" vertical="bottom"/>
    </xf>
    <xf borderId="24" fillId="0" fontId="13" numFmtId="0" xfId="0" applyAlignment="1" applyBorder="1" applyFont="1">
      <alignment vertical="bottom"/>
    </xf>
    <xf borderId="13" fillId="0" fontId="13" numFmtId="0" xfId="0" applyBorder="1" applyFont="1"/>
    <xf borderId="0" fillId="55" fontId="4" numFmtId="0" xfId="0" applyAlignment="1" applyFill="1" applyFont="1">
      <alignment vertical="bottom"/>
    </xf>
    <xf borderId="0" fillId="55" fontId="17" numFmtId="0" xfId="0" applyAlignment="1" applyFont="1">
      <alignment vertical="bottom"/>
    </xf>
    <xf borderId="0" fillId="55" fontId="17" numFmtId="0" xfId="0" applyAlignment="1" applyFont="1">
      <alignment horizontal="center" readingOrder="0" vertical="bottom"/>
    </xf>
    <xf borderId="89" fillId="13" fontId="4" numFmtId="0" xfId="0" applyAlignment="1" applyBorder="1" applyFont="1">
      <alignment vertical="bottom"/>
    </xf>
    <xf borderId="111" fillId="13" fontId="17" numFmtId="0" xfId="0" applyAlignment="1" applyBorder="1" applyFont="1">
      <alignment vertical="bottom"/>
    </xf>
    <xf borderId="89" fillId="13" fontId="17" numFmtId="0" xfId="0" applyAlignment="1" applyBorder="1" applyFont="1">
      <alignment horizontal="center" readingOrder="0" vertical="bottom"/>
    </xf>
    <xf borderId="89" fillId="34" fontId="4" numFmtId="0" xfId="0" applyAlignment="1" applyBorder="1" applyFont="1">
      <alignment horizontal="center" vertical="bottom"/>
    </xf>
    <xf borderId="89" fillId="51" fontId="4" numFmtId="0" xfId="0" applyAlignment="1" applyBorder="1" applyFont="1">
      <alignment readingOrder="0" vertical="bottom"/>
    </xf>
    <xf borderId="89" fillId="0" fontId="13" numFmtId="0" xfId="0" applyAlignment="1" applyBorder="1" applyFont="1">
      <alignment horizontal="center" readingOrder="0" vertical="bottom"/>
    </xf>
    <xf borderId="111" fillId="51" fontId="4" numFmtId="0" xfId="0" applyAlignment="1" applyBorder="1" applyFont="1">
      <alignment readingOrder="0" vertical="bottom"/>
    </xf>
    <xf borderId="89" fillId="34" fontId="4" numFmtId="0" xfId="0" applyAlignment="1" applyBorder="1" applyFont="1">
      <alignment horizontal="center" vertical="bottom"/>
    </xf>
    <xf borderId="89" fillId="0" fontId="4" numFmtId="0" xfId="0" applyAlignment="1" applyBorder="1" applyFont="1">
      <alignment readingOrder="0" vertical="bottom"/>
    </xf>
    <xf borderId="111" fillId="34" fontId="4" numFmtId="0" xfId="0" applyAlignment="1" applyBorder="1" applyFont="1">
      <alignment horizontal="center" vertical="bottom"/>
    </xf>
    <xf borderId="111" fillId="0" fontId="4" numFmtId="0" xfId="0" applyAlignment="1" applyBorder="1" applyFont="1">
      <alignment readingOrder="0" vertical="bottom"/>
    </xf>
    <xf borderId="111" fillId="0" fontId="13" numFmtId="0" xfId="0" applyAlignment="1" applyBorder="1" applyFont="1">
      <alignment horizontal="center" readingOrder="0" vertical="bottom"/>
    </xf>
    <xf borderId="111" fillId="56" fontId="4" numFmtId="0" xfId="0" applyAlignment="1" applyBorder="1" applyFill="1" applyFont="1">
      <alignment vertical="bottom"/>
    </xf>
    <xf borderId="16" fillId="56" fontId="17" numFmtId="0" xfId="0" applyAlignment="1" applyBorder="1" applyFont="1">
      <alignment readingOrder="0" vertical="bottom"/>
    </xf>
    <xf borderId="112" fillId="56" fontId="17" numFmtId="0" xfId="0" applyAlignment="1" applyBorder="1" applyFont="1">
      <alignment horizontal="center" readingOrder="0" vertical="bottom"/>
    </xf>
    <xf borderId="89" fillId="7" fontId="4" numFmtId="0" xfId="0" applyAlignment="1" applyBorder="1" applyFont="1">
      <alignment readingOrder="0" vertical="bottom"/>
    </xf>
    <xf borderId="89" fillId="34" fontId="4" numFmtId="0" xfId="0" applyAlignment="1" applyBorder="1" applyFont="1">
      <alignment horizontal="center" readingOrder="0" vertical="bottom"/>
    </xf>
    <xf borderId="89" fillId="0" fontId="13" numFmtId="0" xfId="0" applyAlignment="1" applyBorder="1" applyFont="1">
      <alignment horizontal="center" vertical="bottom"/>
    </xf>
    <xf borderId="89" fillId="0" fontId="4" numFmtId="0" xfId="0" applyAlignment="1" applyBorder="1" applyFont="1">
      <alignment vertical="bottom"/>
    </xf>
    <xf borderId="89" fillId="7" fontId="127" numFmtId="0" xfId="0" applyAlignment="1" applyBorder="1" applyFont="1">
      <alignment readingOrder="0"/>
    </xf>
    <xf borderId="89" fillId="0" fontId="4" numFmtId="0" xfId="0" applyAlignment="1" applyBorder="1" applyFont="1">
      <alignment vertical="bottom"/>
    </xf>
    <xf borderId="89" fillId="52" fontId="4" numFmtId="0" xfId="0" applyAlignment="1" applyBorder="1" applyFont="1">
      <alignment readingOrder="0" vertical="bottom"/>
    </xf>
    <xf borderId="89" fillId="57" fontId="4" numFmtId="0" xfId="0" applyAlignment="1" applyBorder="1" applyFill="1" applyFont="1">
      <alignment readingOrder="0" vertical="bottom"/>
    </xf>
    <xf borderId="89" fillId="53" fontId="4" numFmtId="0" xfId="0" applyAlignment="1" applyBorder="1" applyFont="1">
      <alignment vertical="bottom"/>
    </xf>
    <xf borderId="113" fillId="34" fontId="4" numFmtId="0" xfId="0" applyAlignment="1" applyBorder="1" applyFont="1">
      <alignment horizontal="center" vertical="bottom"/>
    </xf>
    <xf borderId="40" fillId="52" fontId="4" numFmtId="0" xfId="0" applyAlignment="1" applyBorder="1" applyFont="1">
      <alignment vertical="bottom"/>
    </xf>
    <xf borderId="113" fillId="34" fontId="4" numFmtId="0" xfId="0" applyAlignment="1" applyBorder="1" applyFont="1">
      <alignment horizontal="center" readingOrder="0" vertical="bottom"/>
    </xf>
    <xf borderId="114" fillId="58" fontId="4" numFmtId="0" xfId="0" applyAlignment="1" applyBorder="1" applyFill="1" applyFont="1">
      <alignment vertical="bottom"/>
    </xf>
    <xf borderId="114" fillId="58" fontId="17" numFmtId="0" xfId="0" applyAlignment="1" applyBorder="1" applyFont="1">
      <alignment vertical="bottom"/>
    </xf>
    <xf borderId="114" fillId="58" fontId="17" numFmtId="0" xfId="0" applyAlignment="1" applyBorder="1" applyFont="1">
      <alignment horizontal="center" readingOrder="0" vertical="bottom"/>
    </xf>
    <xf borderId="0" fillId="0" fontId="128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16" fillId="31" fontId="129" numFmtId="0" xfId="0" applyAlignment="1" applyBorder="1" applyFont="1">
      <alignment horizontal="center" readingOrder="0" shrinkToFit="0" vertical="bottom" wrapText="1"/>
    </xf>
    <xf borderId="23" fillId="31" fontId="130" numFmtId="0" xfId="0" applyAlignment="1" applyBorder="1" applyFont="1">
      <alignment horizontal="center" vertical="bottom"/>
    </xf>
    <xf borderId="14" fillId="50" fontId="129" numFmtId="0" xfId="0" applyAlignment="1" applyBorder="1" applyFont="1">
      <alignment horizontal="center" shrinkToFit="0" vertical="bottom" wrapText="1"/>
    </xf>
    <xf borderId="16" fillId="50" fontId="129" numFmtId="0" xfId="0" applyAlignment="1" applyBorder="1" applyFont="1">
      <alignment horizontal="center" shrinkToFit="0" vertical="bottom" wrapText="1"/>
    </xf>
    <xf borderId="14" fillId="50" fontId="130" numFmtId="0" xfId="0" applyAlignment="1" applyBorder="1" applyFont="1">
      <alignment horizontal="center" vertical="bottom"/>
    </xf>
    <xf borderId="17" fillId="50" fontId="130" numFmtId="0" xfId="0" applyAlignment="1" applyBorder="1" applyFont="1">
      <alignment horizontal="center" vertical="bottom"/>
    </xf>
    <xf borderId="14" fillId="0" fontId="131" numFmtId="0" xfId="0" applyAlignment="1" applyBorder="1" applyFont="1">
      <alignment horizontal="center" readingOrder="0" shrinkToFit="0" vertical="bottom" wrapText="1"/>
    </xf>
    <xf borderId="17" fillId="0" fontId="131" numFmtId="0" xfId="0" applyAlignment="1" applyBorder="1" applyFont="1">
      <alignment horizontal="center" readingOrder="0" shrinkToFit="0" vertical="bottom" wrapText="1"/>
    </xf>
    <xf borderId="14" fillId="7" fontId="132" numFmtId="0" xfId="0" applyAlignment="1" applyBorder="1" applyFont="1">
      <alignment horizontal="center" vertical="bottom"/>
    </xf>
    <xf borderId="17" fillId="7" fontId="132" numFmtId="0" xfId="0" applyAlignment="1" applyBorder="1" applyFont="1">
      <alignment horizontal="center" vertical="bottom"/>
    </xf>
    <xf borderId="23" fillId="50" fontId="129" numFmtId="0" xfId="0" applyAlignment="1" applyBorder="1" applyFont="1">
      <alignment horizontal="center" shrinkToFit="0" vertical="bottom" wrapText="1"/>
    </xf>
    <xf borderId="23" fillId="50" fontId="130" numFmtId="0" xfId="0" applyAlignment="1" applyBorder="1" applyFont="1">
      <alignment horizontal="center" vertical="bottom"/>
    </xf>
    <xf borderId="23" fillId="0" fontId="133" numFmtId="0" xfId="0" applyAlignment="1" applyBorder="1" applyFont="1">
      <alignment horizontal="center" readingOrder="0" shrinkToFit="0" vertical="bottom" wrapText="1"/>
    </xf>
    <xf borderId="23" fillId="0" fontId="134" numFmtId="0" xfId="0" applyAlignment="1" applyBorder="1" applyFont="1">
      <alignment horizontal="center" shrinkToFit="0" vertical="bottom" wrapText="1"/>
    </xf>
    <xf borderId="23" fillId="0" fontId="135" numFmtId="0" xfId="0" applyAlignment="1" applyBorder="1" applyFont="1">
      <alignment horizontal="center" readingOrder="0" vertical="bottom"/>
    </xf>
    <xf borderId="23" fillId="7" fontId="4" numFmtId="0" xfId="0" applyAlignment="1" applyBorder="1" applyFont="1">
      <alignment vertical="bottom"/>
    </xf>
    <xf borderId="23" fillId="0" fontId="4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7" fillId="50" fontId="129" numFmtId="0" xfId="0" applyAlignment="1" applyBorder="1" applyFont="1">
      <alignment horizontal="center" shrinkToFit="0" vertical="bottom" wrapText="1"/>
    </xf>
    <xf borderId="14" fillId="0" fontId="133" numFmtId="0" xfId="0" applyAlignment="1" applyBorder="1" applyFont="1">
      <alignment horizontal="center" readingOrder="0" shrinkToFit="0" vertical="bottom" wrapText="1"/>
    </xf>
    <xf borderId="17" fillId="0" fontId="133" numFmtId="0" xfId="0" applyAlignment="1" applyBorder="1" applyFont="1">
      <alignment horizontal="center" readingOrder="0" shrinkToFit="0" vertical="bottom" wrapText="1"/>
    </xf>
    <xf borderId="14" fillId="0" fontId="135" numFmtId="0" xfId="0" applyAlignment="1" applyBorder="1" applyFont="1">
      <alignment horizontal="center" readingOrder="0" vertical="bottom"/>
    </xf>
    <xf borderId="14" fillId="50" fontId="130" numFmtId="0" xfId="0" applyAlignment="1" applyBorder="1" applyFont="1">
      <alignment horizontal="center" readingOrder="0" vertical="bottom"/>
    </xf>
    <xf borderId="14" fillId="7" fontId="131" numFmtId="0" xfId="0" applyAlignment="1" applyBorder="1" applyFont="1">
      <alignment horizontal="center" readingOrder="0" vertical="bottom"/>
    </xf>
    <xf borderId="17" fillId="7" fontId="131" numFmtId="0" xfId="0" applyAlignment="1" applyBorder="1" applyFont="1">
      <alignment horizontal="center" readingOrder="0" vertical="bottom"/>
    </xf>
    <xf borderId="23" fillId="50" fontId="129" numFmtId="0" xfId="0" applyAlignment="1" applyBorder="1" applyFont="1">
      <alignment horizontal="center" vertical="bottom"/>
    </xf>
    <xf borderId="16" fillId="31" fontId="129" numFmtId="0" xfId="0" applyAlignment="1" applyBorder="1" applyFont="1">
      <alignment horizontal="center" shrinkToFit="0" vertical="bottom" wrapText="1"/>
    </xf>
    <xf borderId="14" fillId="0" fontId="132" numFmtId="0" xfId="0" applyAlignment="1" applyBorder="1" applyFont="1">
      <alignment horizontal="center" shrinkToFit="0" vertical="bottom" wrapText="1"/>
    </xf>
    <xf borderId="17" fillId="0" fontId="132" numFmtId="0" xfId="0" applyAlignment="1" applyBorder="1" applyFont="1">
      <alignment horizontal="center" shrinkToFit="0" vertical="bottom" wrapText="1"/>
    </xf>
    <xf borderId="23" fillId="7" fontId="135" numFmtId="0" xfId="0" applyAlignment="1" applyBorder="1" applyFont="1">
      <alignment horizontal="center" readingOrder="0" vertical="bottom"/>
    </xf>
    <xf borderId="23" fillId="50" fontId="130" numFmtId="0" xfId="0" applyAlignment="1" applyBorder="1" applyFont="1">
      <alignment horizontal="center" readingOrder="0" vertical="bottom"/>
    </xf>
    <xf borderId="17" fillId="7" fontId="135" numFmtId="0" xfId="0" applyAlignment="1" applyBorder="1" applyFont="1">
      <alignment horizontal="center" readingOrder="0" vertical="bottom"/>
    </xf>
    <xf borderId="14" fillId="0" fontId="134" numFmtId="0" xfId="0" applyAlignment="1" applyBorder="1" applyFont="1">
      <alignment horizontal="center" shrinkToFit="0" vertical="bottom" wrapText="1"/>
    </xf>
    <xf borderId="17" fillId="0" fontId="134" numFmtId="0" xfId="0" applyAlignment="1" applyBorder="1" applyFont="1">
      <alignment horizontal="center" shrinkToFit="0" vertical="bottom" wrapText="1"/>
    </xf>
    <xf borderId="17" fillId="7" fontId="4" numFmtId="0" xfId="0" applyAlignment="1" applyBorder="1" applyFont="1">
      <alignment vertical="bottom"/>
    </xf>
    <xf borderId="0" fillId="0" fontId="15" numFmtId="170" xfId="0" applyFont="1" applyNumberFormat="1"/>
    <xf borderId="0" fillId="0" fontId="15" numFmtId="0" xfId="0" applyFont="1"/>
    <xf borderId="0" fillId="0" fontId="15" numFmtId="0" xfId="0" applyAlignment="1" applyFont="1">
      <alignment horizontal="center" vertical="center"/>
    </xf>
    <xf borderId="0" fillId="0" fontId="15" numFmtId="49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19" fillId="59" fontId="136" numFmtId="170" xfId="0" applyAlignment="1" applyBorder="1" applyFill="1" applyFont="1" applyNumberFormat="1">
      <alignment horizontal="center" readingOrder="0"/>
    </xf>
    <xf borderId="30" fillId="59" fontId="136" numFmtId="0" xfId="0" applyAlignment="1" applyBorder="1" applyFont="1">
      <alignment horizontal="center" readingOrder="0"/>
    </xf>
    <xf borderId="24" fillId="59" fontId="136" numFmtId="0" xfId="0" applyAlignment="1" applyBorder="1" applyFont="1">
      <alignment horizontal="center" readingOrder="0"/>
    </xf>
    <xf borderId="13" fillId="59" fontId="137" numFmtId="0" xfId="0" applyAlignment="1" applyBorder="1" applyFont="1">
      <alignment horizontal="center" readingOrder="0" vertical="center"/>
    </xf>
    <xf borderId="24" fillId="59" fontId="136" numFmtId="49" xfId="0" applyAlignment="1" applyBorder="1" applyFont="1" applyNumberFormat="1">
      <alignment horizontal="center" readingOrder="0" vertical="center"/>
    </xf>
    <xf borderId="19" fillId="59" fontId="136" numFmtId="0" xfId="0" applyAlignment="1" applyBorder="1" applyFont="1">
      <alignment horizontal="center" readingOrder="0"/>
    </xf>
    <xf borderId="19" fillId="0" fontId="138" numFmtId="0" xfId="0" applyAlignment="1" applyBorder="1" applyFont="1">
      <alignment horizontal="center" readingOrder="0"/>
    </xf>
    <xf borderId="19" fillId="54" fontId="138" numFmtId="0" xfId="0" applyAlignment="1" applyBorder="1" applyFont="1">
      <alignment horizontal="center" readingOrder="0"/>
    </xf>
    <xf borderId="25" fillId="0" fontId="138" numFmtId="0" xfId="0" applyAlignment="1" applyBorder="1" applyFont="1">
      <alignment horizontal="center" readingOrder="0"/>
    </xf>
    <xf borderId="13" fillId="15" fontId="139" numFmtId="0" xfId="0" applyAlignment="1" applyBorder="1" applyFont="1">
      <alignment horizontal="center" readingOrder="0" vertical="center"/>
    </xf>
    <xf borderId="13" fillId="0" fontId="15" numFmtId="49" xfId="0" applyAlignment="1" applyBorder="1" applyFont="1" applyNumberFormat="1">
      <alignment horizontal="center" readingOrder="0" vertical="center"/>
    </xf>
    <xf borderId="13" fillId="60" fontId="140" numFmtId="0" xfId="0" applyAlignment="1" applyBorder="1" applyFill="1" applyFont="1">
      <alignment horizontal="center" readingOrder="0" vertical="center"/>
    </xf>
    <xf borderId="0" fillId="0" fontId="15" numFmtId="171" xfId="0" applyFont="1" applyNumberFormat="1"/>
    <xf borderId="21" fillId="59" fontId="136" numFmtId="0" xfId="0" applyAlignment="1" applyBorder="1" applyFont="1">
      <alignment horizontal="center" readingOrder="0"/>
    </xf>
    <xf borderId="21" fillId="0" fontId="138" numFmtId="0" xfId="0" applyAlignment="1" applyBorder="1" applyFont="1">
      <alignment horizontal="center" readingOrder="0"/>
    </xf>
    <xf borderId="21" fillId="54" fontId="138" numFmtId="0" xfId="0" applyAlignment="1" applyBorder="1" applyFont="1">
      <alignment horizontal="center" readingOrder="0"/>
    </xf>
    <xf borderId="25" fillId="0" fontId="138" numFmtId="0" xfId="0" applyAlignment="1" applyBorder="1" applyFont="1">
      <alignment horizontal="center"/>
    </xf>
    <xf borderId="13" fillId="61" fontId="140" numFmtId="0" xfId="0" applyAlignment="1" applyBorder="1" applyFill="1" applyFont="1">
      <alignment horizontal="center" readingOrder="0" vertical="center"/>
    </xf>
    <xf borderId="13" fillId="62" fontId="140" numFmtId="0" xfId="0" applyAlignment="1" applyBorder="1" applyFill="1" applyFont="1">
      <alignment horizontal="center" readingOrder="0" vertical="center"/>
    </xf>
    <xf borderId="0" fillId="0" fontId="15" numFmtId="165" xfId="0" applyFont="1" applyNumberFormat="1"/>
    <xf borderId="21" fillId="63" fontId="138" numFmtId="0" xfId="0" applyAlignment="1" applyBorder="1" applyFill="1" applyFont="1">
      <alignment horizontal="center" readingOrder="0"/>
    </xf>
    <xf borderId="13" fillId="64" fontId="139" numFmtId="0" xfId="0" applyAlignment="1" applyBorder="1" applyFill="1" applyFont="1">
      <alignment horizontal="center" readingOrder="0" vertical="center"/>
    </xf>
    <xf borderId="13" fillId="39" fontId="140" numFmtId="0" xfId="0" applyAlignment="1" applyBorder="1" applyFont="1">
      <alignment horizontal="center" readingOrder="0" vertical="center"/>
    </xf>
    <xf borderId="21" fillId="0" fontId="138" numFmtId="0" xfId="0" applyAlignment="1" applyBorder="1" applyFont="1">
      <alignment horizontal="center"/>
    </xf>
    <xf borderId="13" fillId="16" fontId="139" numFmtId="0" xfId="0" applyAlignment="1" applyBorder="1" applyFont="1">
      <alignment horizontal="center" readingOrder="0" vertical="center"/>
    </xf>
    <xf borderId="13" fillId="29" fontId="140" numFmtId="0" xfId="0" applyAlignment="1" applyBorder="1" applyFont="1">
      <alignment horizontal="center" readingOrder="0" vertical="center"/>
    </xf>
    <xf borderId="14" fillId="59" fontId="136" numFmtId="0" xfId="0" applyAlignment="1" applyBorder="1" applyFont="1">
      <alignment horizontal="center" readingOrder="0"/>
    </xf>
    <xf borderId="14" fillId="0" fontId="138" numFmtId="0" xfId="0" applyAlignment="1" applyBorder="1" applyFont="1">
      <alignment horizontal="center" readingOrder="0"/>
    </xf>
    <xf borderId="14" fillId="54" fontId="138" numFmtId="0" xfId="0" applyAlignment="1" applyBorder="1" applyFont="1">
      <alignment horizontal="center" readingOrder="0"/>
    </xf>
    <xf borderId="17" fillId="0" fontId="138" numFmtId="0" xfId="0" applyAlignment="1" applyBorder="1" applyFont="1">
      <alignment horizontal="center" readingOrder="0"/>
    </xf>
    <xf borderId="13" fillId="65" fontId="139" numFmtId="0" xfId="0" applyAlignment="1" applyBorder="1" applyFill="1" applyFont="1">
      <alignment horizontal="center" readingOrder="0" vertical="center"/>
    </xf>
    <xf borderId="13" fillId="66" fontId="140" numFmtId="0" xfId="0" applyAlignment="1" applyBorder="1" applyFill="1" applyFont="1">
      <alignment horizontal="center" readingOrder="0" vertical="center"/>
    </xf>
    <xf borderId="13" fillId="67" fontId="140" numFmtId="0" xfId="0" applyAlignment="1" applyBorder="1" applyFill="1" applyFont="1">
      <alignment horizontal="center" readingOrder="0" vertical="center"/>
    </xf>
    <xf borderId="13" fillId="2" fontId="140" numFmtId="0" xfId="0" applyAlignment="1" applyBorder="1" applyFont="1">
      <alignment horizontal="center" readingOrder="0" vertical="center"/>
    </xf>
    <xf borderId="13" fillId="68" fontId="140" numFmtId="0" xfId="0" applyAlignment="1" applyBorder="1" applyFill="1" applyFont="1">
      <alignment horizontal="center" readingOrder="0" vertical="center"/>
    </xf>
    <xf borderId="13" fillId="30" fontId="140" numFmtId="0" xfId="0" applyAlignment="1" applyBorder="1" applyFont="1">
      <alignment horizontal="center" readingOrder="0" vertical="center"/>
    </xf>
    <xf borderId="0" fillId="7" fontId="138" numFmtId="0" xfId="0" applyAlignment="1" applyFont="1">
      <alignment horizontal="left" readingOrder="0" vertical="center"/>
    </xf>
    <xf borderId="0" fillId="7" fontId="15" numFmtId="49" xfId="0" applyAlignment="1" applyFont="1" applyNumberFormat="1">
      <alignment horizontal="center" vertical="center"/>
    </xf>
    <xf borderId="13" fillId="57" fontId="140" numFmtId="0" xfId="0" applyAlignment="1" applyBorder="1" applyFont="1">
      <alignment horizontal="center" readingOrder="0" vertical="center"/>
    </xf>
    <xf borderId="13" fillId="7" fontId="15" numFmtId="49" xfId="0" applyAlignment="1" applyBorder="1" applyFont="1" applyNumberFormat="1">
      <alignment horizontal="center" readingOrder="0" vertical="center"/>
    </xf>
    <xf borderId="0" fillId="7" fontId="15" numFmtId="0" xfId="0" applyAlignment="1" applyFont="1">
      <alignment horizontal="center" vertical="center"/>
    </xf>
    <xf borderId="13" fillId="28" fontId="15" numFmtId="0" xfId="0" applyAlignment="1" applyBorder="1" applyFont="1">
      <alignment horizontal="center" readingOrder="0"/>
    </xf>
    <xf borderId="26" fillId="57" fontId="15" numFmtId="0" xfId="0" applyAlignment="1" applyBorder="1" applyFont="1">
      <alignment horizontal="center" readingOrder="0"/>
    </xf>
    <xf borderId="26" fillId="27" fontId="15" numFmtId="0" xfId="0" applyAlignment="1" applyBorder="1" applyFont="1">
      <alignment horizontal="center" readingOrder="0"/>
    </xf>
    <xf borderId="26" fillId="50" fontId="15" numFmtId="0" xfId="0" applyAlignment="1" applyBorder="1" applyFont="1">
      <alignment horizontal="center" readingOrder="0"/>
    </xf>
    <xf borderId="24" fillId="27" fontId="15" numFmtId="0" xfId="0" applyAlignment="1" applyBorder="1" applyFont="1">
      <alignment horizontal="center" readingOrder="0"/>
    </xf>
    <xf borderId="19" fillId="28" fontId="141" numFmtId="0" xfId="0" applyAlignment="1" applyBorder="1" applyFont="1">
      <alignment horizontal="center" readingOrder="0"/>
    </xf>
    <xf borderId="15" fillId="57" fontId="15" numFmtId="165" xfId="0" applyAlignment="1" applyBorder="1" applyFont="1" applyNumberFormat="1">
      <alignment horizontal="center" readingOrder="0"/>
    </xf>
    <xf borderId="15" fillId="27" fontId="15" numFmtId="165" xfId="0" applyAlignment="1" applyBorder="1" applyFont="1" applyNumberFormat="1">
      <alignment horizontal="center" readingOrder="0"/>
    </xf>
    <xf borderId="15" fillId="50" fontId="15" numFmtId="165" xfId="0" applyAlignment="1" applyBorder="1" applyFont="1" applyNumberFormat="1">
      <alignment horizontal="center" readingOrder="0"/>
    </xf>
    <xf borderId="30" fillId="27" fontId="15" numFmtId="165" xfId="0" applyAlignment="1" applyBorder="1" applyFont="1" applyNumberFormat="1">
      <alignment horizontal="center" readingOrder="0"/>
    </xf>
    <xf borderId="0" fillId="7" fontId="15" numFmtId="0" xfId="0" applyAlignment="1" applyFont="1">
      <alignment horizontal="center" vertical="center"/>
    </xf>
    <xf borderId="14" fillId="28" fontId="141" numFmtId="0" xfId="0" applyAlignment="1" applyBorder="1" applyFont="1">
      <alignment horizontal="center" readingOrder="0"/>
    </xf>
    <xf borderId="16" fillId="57" fontId="15" numFmtId="0" xfId="0" applyAlignment="1" applyBorder="1" applyFont="1">
      <alignment horizontal="center" readingOrder="0"/>
    </xf>
    <xf borderId="16" fillId="27" fontId="15" numFmtId="0" xfId="0" applyAlignment="1" applyBorder="1" applyFont="1">
      <alignment horizontal="center" readingOrder="0"/>
    </xf>
    <xf borderId="16" fillId="50" fontId="15" numFmtId="0" xfId="0" applyAlignment="1" applyBorder="1" applyFont="1">
      <alignment horizontal="center" readingOrder="0"/>
    </xf>
    <xf borderId="17" fillId="27" fontId="15" numFmtId="0" xfId="0" applyAlignment="1" applyBorder="1" applyFont="1">
      <alignment horizontal="center" readingOrder="0"/>
    </xf>
    <xf borderId="13" fillId="69" fontId="137" numFmtId="0" xfId="0" applyAlignment="1" applyBorder="1" applyFill="1" applyFont="1">
      <alignment horizontal="center" readingOrder="0" vertical="center"/>
    </xf>
    <xf borderId="24" fillId="69" fontId="136" numFmtId="49" xfId="0" applyAlignment="1" applyBorder="1" applyFont="1" applyNumberFormat="1">
      <alignment horizontal="center" readingOrder="0" vertical="center"/>
    </xf>
    <xf borderId="18" fillId="28" fontId="141" numFmtId="0" xfId="0" applyAlignment="1" applyBorder="1" applyFont="1">
      <alignment horizontal="center" readingOrder="0"/>
    </xf>
    <xf borderId="18" fillId="57" fontId="68" numFmtId="0" xfId="0" applyAlignment="1" applyBorder="1" applyFont="1">
      <alignment horizontal="center" readingOrder="0"/>
    </xf>
    <xf borderId="26" fillId="27" fontId="68" numFmtId="0" xfId="0" applyAlignment="1" applyBorder="1" applyFont="1">
      <alignment horizontal="center" readingOrder="0"/>
    </xf>
    <xf borderId="26" fillId="50" fontId="68" numFmtId="0" xfId="0" applyAlignment="1" applyBorder="1" applyFont="1">
      <alignment horizontal="center" readingOrder="0"/>
    </xf>
    <xf borderId="24" fillId="27" fontId="68" numFmtId="0" xfId="0" applyAlignment="1" applyBorder="1" applyFont="1">
      <alignment horizontal="center" readingOrder="0"/>
    </xf>
    <xf borderId="19" fillId="7" fontId="138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22" fillId="57" fontId="15" numFmtId="0" xfId="0" applyAlignment="1" applyBorder="1" applyFont="1">
      <alignment horizontal="center" readingOrder="0"/>
    </xf>
    <xf borderId="0" fillId="27" fontId="15" numFmtId="0" xfId="0" applyAlignment="1" applyFont="1">
      <alignment horizontal="center" readingOrder="0"/>
    </xf>
    <xf borderId="0" fillId="50" fontId="15" numFmtId="0" xfId="0" applyAlignment="1" applyFont="1">
      <alignment horizontal="center" readingOrder="0"/>
    </xf>
    <xf borderId="25" fillId="27" fontId="15" numFmtId="0" xfId="0" applyAlignment="1" applyBorder="1" applyFont="1">
      <alignment horizontal="center" readingOrder="0"/>
    </xf>
    <xf borderId="21" fillId="7" fontId="138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22" fillId="57" fontId="15" numFmtId="0" xfId="0" applyAlignment="1" applyBorder="1" applyFont="1">
      <alignment horizontal="center" readingOrder="0"/>
    </xf>
    <xf borderId="25" fillId="27" fontId="15" numFmtId="0" xfId="0" applyAlignment="1" applyBorder="1" applyFont="1">
      <alignment horizontal="center" readingOrder="0"/>
    </xf>
    <xf borderId="21" fillId="30" fontId="138" numFmtId="0" xfId="0" applyAlignment="1" applyBorder="1" applyFont="1">
      <alignment horizontal="center" readingOrder="0"/>
    </xf>
    <xf borderId="22" fillId="57" fontId="15" numFmtId="0" xfId="0" applyAlignment="1" applyBorder="1" applyFont="1">
      <alignment horizontal="center"/>
    </xf>
    <xf borderId="25" fillId="27" fontId="15" numFmtId="0" xfId="0" applyAlignment="1" applyBorder="1" applyFont="1">
      <alignment horizontal="center"/>
    </xf>
    <xf borderId="14" fillId="63" fontId="138" numFmtId="0" xfId="0" applyAlignment="1" applyBorder="1" applyFont="1">
      <alignment horizontal="center" readingOrder="0"/>
    </xf>
    <xf borderId="14" fillId="7" fontId="138" numFmtId="0" xfId="0" applyAlignment="1" applyBorder="1" applyFont="1">
      <alignment horizontal="center" readingOrder="0"/>
    </xf>
    <xf borderId="23" fillId="57" fontId="15" numFmtId="0" xfId="0" applyAlignment="1" applyBorder="1" applyFont="1">
      <alignment horizontal="center"/>
    </xf>
    <xf borderId="16" fillId="50" fontId="15" numFmtId="0" xfId="0" applyAlignment="1" applyBorder="1" applyFont="1">
      <alignment horizontal="center"/>
    </xf>
    <xf borderId="17" fillId="27" fontId="15" numFmtId="0" xfId="0" applyAlignment="1" applyBorder="1" applyFont="1">
      <alignment horizontal="center"/>
    </xf>
    <xf borderId="0" fillId="7" fontId="15" numFmtId="0" xfId="0" applyFont="1"/>
    <xf borderId="0" fillId="7" fontId="15" numFmtId="49" xfId="0" applyFont="1" applyNumberFormat="1"/>
    <xf borderId="23" fillId="57" fontId="15" numFmtId="0" xfId="0" applyAlignment="1" applyBorder="1" applyFont="1">
      <alignment horizontal="center" readingOrder="0"/>
    </xf>
    <xf borderId="0" fillId="0" fontId="22" numFmtId="49" xfId="0" applyAlignment="1" applyFont="1" applyNumberFormat="1">
      <alignment horizontal="center" readingOrder="0" vertical="center"/>
    </xf>
    <xf borderId="0" fillId="56" fontId="142" numFmtId="0" xfId="0" applyAlignment="1" applyFont="1">
      <alignment readingOrder="0" vertical="bottom"/>
    </xf>
    <xf borderId="0" fillId="56" fontId="37" numFmtId="0" xfId="0" applyAlignment="1" applyFont="1">
      <alignment readingOrder="0" vertical="bottom"/>
    </xf>
    <xf borderId="0" fillId="56" fontId="37" numFmtId="0" xfId="0" applyAlignment="1" applyFont="1">
      <alignment horizontal="center" readingOrder="0" vertical="bottom"/>
    </xf>
    <xf borderId="0" fillId="0" fontId="20" numFmtId="0" xfId="0" applyAlignment="1" applyFont="1">
      <alignment horizontal="center"/>
    </xf>
    <xf borderId="115" fillId="56" fontId="37" numFmtId="0" xfId="0" applyAlignment="1" applyBorder="1" applyFont="1">
      <alignment horizontal="center" readingOrder="0" vertical="bottom"/>
    </xf>
    <xf borderId="0" fillId="56" fontId="37" numFmtId="0" xfId="0" applyAlignment="1" applyFont="1">
      <alignment vertical="bottom"/>
    </xf>
    <xf borderId="0" fillId="56" fontId="37" numFmtId="0" xfId="0" applyAlignment="1" applyFont="1">
      <alignment horizontal="center" vertical="bottom"/>
    </xf>
    <xf borderId="0" fillId="0" fontId="143" numFmtId="0" xfId="0" applyAlignment="1" applyFont="1">
      <alignment readingOrder="0" vertical="bottom"/>
    </xf>
    <xf borderId="0" fillId="0" fontId="144" numFmtId="0" xfId="0" applyAlignment="1" applyFont="1">
      <alignment readingOrder="0" vertical="bottom"/>
    </xf>
    <xf borderId="0" fillId="0" fontId="145" numFmtId="0" xfId="0" applyAlignment="1" applyFont="1">
      <alignment readingOrder="0" vertical="bottom"/>
    </xf>
    <xf borderId="0" fillId="0" fontId="75" numFmtId="0" xfId="0" applyAlignment="1" applyFont="1">
      <alignment vertical="bottom"/>
    </xf>
    <xf borderId="0" fillId="0" fontId="75" numFmtId="0" xfId="0" applyFont="1"/>
    <xf borderId="0" fillId="0" fontId="146" numFmtId="0" xfId="0" applyFont="1"/>
    <xf borderId="18" fillId="70" fontId="147" numFmtId="0" xfId="0" applyAlignment="1" applyBorder="1" applyFill="1" applyFont="1">
      <alignment horizontal="center" vertical="bottom"/>
    </xf>
    <xf borderId="18" fillId="71" fontId="148" numFmtId="0" xfId="0" applyAlignment="1" applyBorder="1" applyFill="1" applyFont="1">
      <alignment horizontal="center" vertical="bottom"/>
    </xf>
    <xf borderId="18" fillId="29" fontId="147" numFmtId="0" xfId="0" applyAlignment="1" applyBorder="1" applyFont="1">
      <alignment horizontal="center" vertical="bottom"/>
    </xf>
    <xf borderId="18" fillId="32" fontId="148" numFmtId="0" xfId="0" applyAlignment="1" applyBorder="1" applyFont="1">
      <alignment horizontal="center" vertical="bottom"/>
    </xf>
    <xf borderId="18" fillId="7" fontId="148" numFmtId="0" xfId="0" applyAlignment="1" applyBorder="1" applyFont="1">
      <alignment horizontal="center" vertical="bottom"/>
    </xf>
    <xf borderId="0" fillId="0" fontId="149" numFmtId="0" xfId="0" applyFont="1"/>
    <xf borderId="0" fillId="0" fontId="150" numFmtId="0" xfId="0" applyFont="1"/>
    <xf borderId="13" fillId="34" fontId="93" numFmtId="0" xfId="0" applyAlignment="1" applyBorder="1" applyFont="1">
      <alignment horizontal="center" vertical="bottom"/>
    </xf>
    <xf borderId="13" fillId="0" fontId="45" numFmtId="0" xfId="0" applyAlignment="1" applyBorder="1" applyFont="1">
      <alignment horizontal="center" vertical="bottom"/>
    </xf>
    <xf borderId="13" fillId="9" fontId="93" numFmtId="0" xfId="0" applyAlignment="1" applyBorder="1" applyFont="1">
      <alignment horizontal="center" vertical="bottom"/>
    </xf>
    <xf borderId="13" fillId="17" fontId="93" numFmtId="0" xfId="0" applyAlignment="1" applyBorder="1" applyFont="1">
      <alignment horizontal="center" vertical="bottom"/>
    </xf>
    <xf borderId="13" fillId="52" fontId="93" numFmtId="0" xfId="0" applyAlignment="1" applyBorder="1" applyFont="1">
      <alignment horizontal="center" vertical="bottom"/>
    </xf>
    <xf borderId="13" fillId="59" fontId="93" numFmtId="0" xfId="0" applyAlignment="1" applyBorder="1" applyFont="1">
      <alignment horizontal="center" vertical="bottom"/>
    </xf>
    <xf borderId="13" fillId="34" fontId="4" numFmtId="0" xfId="0" applyAlignment="1" applyBorder="1" applyFont="1">
      <alignment vertical="bottom"/>
    </xf>
    <xf borderId="13" fillId="9" fontId="4" numFmtId="0" xfId="0" applyAlignment="1" applyBorder="1" applyFont="1">
      <alignment vertical="bottom"/>
    </xf>
    <xf borderId="13" fillId="17" fontId="4" numFmtId="0" xfId="0" applyAlignment="1" applyBorder="1" applyFont="1">
      <alignment vertical="bottom"/>
    </xf>
    <xf borderId="13" fillId="52" fontId="4" numFmtId="0" xfId="0" applyAlignment="1" applyBorder="1" applyFont="1">
      <alignment vertical="bottom"/>
    </xf>
    <xf borderId="13" fillId="59" fontId="4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3" fillId="0" fontId="93" numFmtId="0" xfId="0" applyAlignment="1" applyBorder="1" applyFont="1">
      <alignment horizontal="center" vertical="bottom"/>
    </xf>
    <xf borderId="14" fillId="0" fontId="93" numFmtId="0" xfId="0" applyAlignment="1" applyBorder="1" applyFont="1">
      <alignment horizontal="center" vertical="bottom"/>
    </xf>
    <xf borderId="13" fillId="34" fontId="93" numFmtId="0" xfId="0" applyAlignment="1" applyBorder="1" applyFont="1">
      <alignment horizontal="center" vertical="bottom"/>
    </xf>
    <xf borderId="0" fillId="0" fontId="151" numFmtId="0" xfId="0" applyAlignment="1" applyFont="1">
      <alignment horizontal="center" vertical="bottom"/>
    </xf>
    <xf borderId="18" fillId="0" fontId="152" numFmtId="0" xfId="0" applyAlignment="1" applyBorder="1" applyFont="1">
      <alignment horizontal="center" vertical="bottom"/>
    </xf>
    <xf borderId="23" fillId="23" fontId="152" numFmtId="0" xfId="0" applyAlignment="1" applyBorder="1" applyFont="1">
      <alignment horizontal="center" vertical="bottom"/>
    </xf>
    <xf borderId="26" fillId="0" fontId="93" numFmtId="0" xfId="0" applyAlignment="1" applyBorder="1" applyFont="1">
      <alignment horizontal="center" vertical="bottom"/>
    </xf>
    <xf borderId="14" fillId="0" fontId="45" numFmtId="0" xfId="0" applyAlignment="1" applyBorder="1" applyFont="1">
      <alignment horizontal="center" vertical="bottom"/>
    </xf>
    <xf borderId="16" fillId="0" fontId="45" numFmtId="0" xfId="0" applyAlignment="1" applyBorder="1" applyFont="1">
      <alignment horizontal="center" vertical="bottom"/>
    </xf>
    <xf borderId="14" fillId="0" fontId="45" numFmtId="0" xfId="0" applyAlignment="1" applyBorder="1" applyFont="1">
      <alignment vertical="bottom"/>
    </xf>
    <xf borderId="16" fillId="0" fontId="93" numFmtId="0" xfId="0" applyAlignment="1" applyBorder="1" applyFont="1">
      <alignment horizontal="center" vertical="bottom"/>
    </xf>
    <xf borderId="14" fillId="0" fontId="4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26" fillId="0" fontId="45" numFmtId="0" xfId="0" applyAlignment="1" applyBorder="1" applyFont="1">
      <alignment horizontal="center" vertical="bottom"/>
    </xf>
    <xf borderId="18" fillId="0" fontId="4" numFmtId="0" xfId="0" applyAlignment="1" applyBorder="1" applyFont="1">
      <alignment vertical="bottom"/>
    </xf>
    <xf borderId="19" fillId="0" fontId="45" numFmtId="0" xfId="0" applyAlignment="1" applyBorder="1" applyFont="1">
      <alignment horizontal="center" vertical="bottom"/>
    </xf>
    <xf borderId="20" fillId="54" fontId="45" numFmtId="0" xfId="0" applyAlignment="1" applyBorder="1" applyFont="1">
      <alignment horizontal="center" vertical="bottom"/>
    </xf>
    <xf borderId="18" fillId="0" fontId="93" numFmtId="0" xfId="0" applyAlignment="1" applyBorder="1" applyFont="1">
      <alignment horizontal="center" vertical="bottom"/>
    </xf>
    <xf borderId="0" fillId="6" fontId="153" numFmtId="0" xfId="0" applyAlignment="1" applyFont="1">
      <alignment horizontal="center" readingOrder="0" vertical="top"/>
    </xf>
    <xf borderId="0" fillId="6" fontId="154" numFmtId="0" xfId="0" applyAlignment="1" applyFont="1">
      <alignment horizontal="center" readingOrder="0" shrinkToFit="0" vertical="top" wrapText="1"/>
    </xf>
    <xf borderId="13" fillId="0" fontId="79" numFmtId="0" xfId="0" applyAlignment="1" applyBorder="1" applyFont="1">
      <alignment horizontal="center"/>
    </xf>
    <xf borderId="13" fillId="0" fontId="79" numFmtId="0" xfId="0" applyAlignment="1" applyBorder="1" applyFont="1">
      <alignment horizontal="center"/>
    </xf>
    <xf borderId="21" fillId="0" fontId="79" numFmtId="0" xfId="0" applyAlignment="1" applyBorder="1" applyFont="1">
      <alignment horizontal="center"/>
    </xf>
    <xf borderId="25" fillId="0" fontId="79" numFmtId="0" xfId="0" applyAlignment="1" applyBorder="1" applyFont="1">
      <alignment horizontal="center"/>
    </xf>
    <xf borderId="25" fillId="0" fontId="79" numFmtId="0" xfId="0" applyAlignment="1" applyBorder="1" applyFont="1">
      <alignment horizontal="center"/>
    </xf>
    <xf borderId="25" fillId="0" fontId="4" numFmtId="0" xfId="0" applyBorder="1" applyFont="1"/>
    <xf borderId="21" fillId="0" fontId="79" numFmtId="0" xfId="0" applyAlignment="1" applyBorder="1" applyFont="1">
      <alignment horizontal="center"/>
    </xf>
    <xf borderId="0" fillId="7" fontId="4" numFmtId="0" xfId="0" applyAlignment="1" applyFont="1">
      <alignment vertical="bottom"/>
    </xf>
    <xf borderId="0" fillId="0" fontId="155" numFmtId="0" xfId="0" applyFont="1"/>
    <xf borderId="0" fillId="0" fontId="156" numFmtId="0" xfId="0" applyAlignment="1" applyFont="1">
      <alignment readingOrder="0"/>
    </xf>
    <xf borderId="0" fillId="0" fontId="156" numFmtId="49" xfId="0" applyFont="1" applyNumberFormat="1"/>
    <xf borderId="0" fillId="0" fontId="156" numFmtId="0" xfId="0" applyFont="1"/>
    <xf borderId="0" fillId="0" fontId="155" numFmtId="0" xfId="0" applyAlignment="1" applyFont="1">
      <alignment readingOrder="0"/>
    </xf>
    <xf borderId="0" fillId="7" fontId="133" numFmtId="0" xfId="0" applyAlignment="1" applyFont="1">
      <alignment vertical="bottom"/>
    </xf>
    <xf borderId="0" fillId="7" fontId="157" numFmtId="0" xfId="0" applyAlignment="1" applyFont="1">
      <alignment shrinkToFit="0" vertical="bottom" wrapText="1"/>
    </xf>
    <xf borderId="0" fillId="10" fontId="17" numFmtId="0" xfId="0" applyAlignment="1" applyFont="1">
      <alignment horizontal="left" readingOrder="0" vertical="bottom"/>
    </xf>
    <xf borderId="0" fillId="10" fontId="14" numFmtId="0" xfId="0" applyAlignment="1" applyFont="1">
      <alignment horizontal="left" vertical="bottom"/>
    </xf>
    <xf borderId="13" fillId="10" fontId="14" numFmtId="0" xfId="0" applyAlignment="1" applyBorder="1" applyFont="1">
      <alignment horizontal="left" readingOrder="0" vertical="bottom"/>
    </xf>
    <xf borderId="0" fillId="17" fontId="13" numFmtId="0" xfId="0" applyAlignment="1" applyFont="1">
      <alignment horizontal="left" vertical="bottom"/>
    </xf>
    <xf borderId="0" fillId="27" fontId="13" numFmtId="0" xfId="0" applyAlignment="1" applyFont="1">
      <alignment horizontal="left" readingOrder="0" shrinkToFit="0" vertical="bottom" wrapText="1"/>
    </xf>
    <xf borderId="0" fillId="10" fontId="13" numFmtId="0" xfId="0" applyAlignment="1" applyFont="1">
      <alignment horizontal="left" vertical="bottom"/>
    </xf>
    <xf borderId="0" fillId="10" fontId="4" numFmtId="0" xfId="0" applyAlignment="1" applyFont="1">
      <alignment horizontal="left" vertical="bottom"/>
    </xf>
    <xf borderId="0" fillId="27" fontId="13" numFmtId="0" xfId="0" applyAlignment="1" applyFont="1">
      <alignment horizontal="left" shrinkToFit="0" vertical="bottom" wrapText="1"/>
    </xf>
    <xf borderId="0" fillId="29" fontId="13" numFmtId="0" xfId="0" applyAlignment="1" applyFont="1">
      <alignment horizontal="left" readingOrder="0" shrinkToFit="0" vertical="bottom" wrapText="1"/>
    </xf>
    <xf borderId="0" fillId="29" fontId="13" numFmtId="0" xfId="0" applyAlignment="1" applyFont="1">
      <alignment horizontal="left" vertical="bottom"/>
    </xf>
    <xf borderId="0" fillId="29" fontId="13" numFmtId="0" xfId="0" applyAlignment="1" applyFont="1">
      <alignment horizontal="left" readingOrder="0" vertical="bottom"/>
    </xf>
    <xf borderId="18" fillId="7" fontId="18" numFmtId="0" xfId="0" applyAlignment="1" applyBorder="1" applyFont="1">
      <alignment horizontal="center" readingOrder="0" vertical="bottom"/>
    </xf>
    <xf borderId="14" fillId="0" fontId="91" numFmtId="0" xfId="0" applyAlignment="1" applyBorder="1" applyFont="1">
      <alignment horizontal="center" vertical="bottom"/>
    </xf>
    <xf borderId="24" fillId="0" fontId="4" numFmtId="0" xfId="0" applyAlignment="1" applyBorder="1" applyFont="1">
      <alignment vertical="bottom"/>
    </xf>
    <xf borderId="17" fillId="46" fontId="92" numFmtId="0" xfId="0" applyAlignment="1" applyBorder="1" applyFont="1">
      <alignment horizontal="center" vertical="bottom"/>
    </xf>
    <xf borderId="17" fillId="45" fontId="92" numFmtId="0" xfId="0" applyAlignment="1" applyBorder="1" applyFont="1">
      <alignment horizontal="center" vertical="bottom"/>
    </xf>
    <xf borderId="26" fillId="7" fontId="18" numFmtId="0" xfId="0" applyAlignment="1" applyBorder="1" applyFont="1">
      <alignment horizontal="center" readingOrder="0" vertical="bottom"/>
    </xf>
    <xf borderId="16" fillId="7" fontId="18" numFmtId="0" xfId="0" applyAlignment="1" applyBorder="1" applyFont="1">
      <alignment horizontal="center" readingOrder="0" vertical="bottom"/>
    </xf>
    <xf borderId="24" fillId="7" fontId="18" numFmtId="0" xfId="0" applyAlignment="1" applyBorder="1" applyFont="1">
      <alignment horizontal="center" readingOrder="0" vertical="bottom"/>
    </xf>
    <xf borderId="25" fillId="0" fontId="90" numFmtId="0" xfId="0" applyAlignment="1" applyBorder="1" applyFont="1">
      <alignment horizontal="center" vertical="bottom"/>
    </xf>
    <xf borderId="17" fillId="10" fontId="90" numFmtId="0" xfId="0" applyAlignment="1" applyBorder="1" applyFont="1">
      <alignment horizontal="center" vertical="bottom"/>
    </xf>
    <xf borderId="17" fillId="0" fontId="91" numFmtId="0" xfId="0" applyAlignment="1" applyBorder="1" applyFont="1">
      <alignment horizontal="center" vertical="center"/>
    </xf>
    <xf borderId="25" fillId="0" fontId="92" numFmtId="0" xfId="0" applyAlignment="1" applyBorder="1" applyFont="1">
      <alignment horizontal="center" readingOrder="0" vertical="bottom"/>
    </xf>
    <xf borderId="17" fillId="42" fontId="92" numFmtId="0" xfId="0" applyAlignment="1" applyBorder="1" applyFont="1">
      <alignment horizontal="center" vertical="center"/>
    </xf>
    <xf borderId="24" fillId="0" fontId="4" numFmtId="0" xfId="0" applyAlignment="1" applyBorder="1" applyFont="1">
      <alignment vertical="center"/>
    </xf>
    <xf borderId="17" fillId="41" fontId="92" numFmtId="0" xfId="0" applyAlignment="1" applyBorder="1" applyFont="1">
      <alignment horizontal="center" vertical="center"/>
    </xf>
    <xf borderId="17" fillId="41" fontId="92" numFmtId="0" xfId="0" applyAlignment="1" applyBorder="1" applyFont="1">
      <alignment horizontal="center" readingOrder="0" vertical="bottom"/>
    </xf>
    <xf borderId="24" fillId="43" fontId="92" numFmtId="0" xfId="0" applyAlignment="1" applyBorder="1" applyFont="1">
      <alignment horizontal="center" readingOrder="0" vertical="bottom"/>
    </xf>
    <xf borderId="17" fillId="9" fontId="92" numFmtId="0" xfId="0" applyAlignment="1" applyBorder="1" applyFont="1">
      <alignment horizontal="center" readingOrder="0" vertical="bottom"/>
    </xf>
    <xf borderId="17" fillId="43" fontId="92" numFmtId="0" xfId="0" applyAlignment="1" applyBorder="1" applyFont="1">
      <alignment horizontal="center" readingOrder="0" vertical="bottom"/>
    </xf>
    <xf borderId="25" fillId="0" fontId="92" numFmtId="0" xfId="0" applyAlignment="1" applyBorder="1" applyFont="1">
      <alignment horizontal="center" vertical="bottom"/>
    </xf>
    <xf borderId="17" fillId="45" fontId="92" numFmtId="0" xfId="0" applyAlignment="1" applyBorder="1" applyFont="1">
      <alignment horizontal="center" vertical="center"/>
    </xf>
    <xf borderId="17" fillId="46" fontId="92" numFmtId="0" xfId="0" applyAlignment="1" applyBorder="1" applyFont="1">
      <alignment horizontal="center" vertical="center"/>
    </xf>
  </cellXfs>
  <cellStyles count="1">
    <cellStyle xfId="0" name="Normal" builtinId="0"/>
  </cellStyles>
  <dxfs count="35">
    <dxf>
      <font/>
      <fill>
        <patternFill patternType="solid">
          <fgColor rgb="FF0070C0"/>
          <bgColor rgb="FF0070C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FF6D01"/>
          <bgColor rgb="FFFF6D01"/>
        </patternFill>
      </fill>
      <border/>
    </dxf>
    <dxf>
      <font/>
      <fill>
        <patternFill patternType="solid">
          <fgColor rgb="FFF032E6"/>
          <bgColor rgb="FFF032E6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4285F4"/>
          <bgColor rgb="FF4285F4"/>
        </patternFill>
      </fill>
      <border/>
    </dxf>
    <dxf>
      <font>
        <color rgb="FF000000"/>
      </font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46F0F0"/>
          <bgColor rgb="FF46F0F0"/>
        </patternFill>
      </fill>
      <border/>
    </dxf>
    <dxf>
      <font/>
      <fill>
        <patternFill patternType="solid">
          <fgColor rgb="FFFFFAC8"/>
          <bgColor rgb="FFFFFAC8"/>
        </patternFill>
      </fill>
      <border/>
    </dxf>
    <dxf>
      <font/>
      <fill>
        <patternFill patternType="solid">
          <fgColor rgb="FFDCBEFF"/>
          <bgColor rgb="FFDCBEFF"/>
        </patternFill>
      </fill>
      <border/>
    </dxf>
    <dxf>
      <font/>
      <fill>
        <patternFill patternType="solid">
          <fgColor rgb="FFAAFFC3"/>
          <bgColor rgb="FFAAFFC3"/>
        </patternFill>
      </fill>
      <border/>
    </dxf>
    <dxf>
      <font/>
      <fill>
        <patternFill patternType="solid">
          <fgColor rgb="FF8179C7"/>
          <bgColor rgb="FF8179C7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3F7E98"/>
          <bgColor rgb="FF3F7E9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3" pivot="0" name="Schedule Template-style">
      <tableStyleElement dxfId="32" type="headerRow"/>
      <tableStyleElement dxfId="33" type="firstRowStripe"/>
      <tableStyleElement dxfId="34" type="secondRowStripe"/>
    </tableStyle>
    <tableStyle count="2" pivot="0" name="Schedule Template-style 2">
      <tableStyleElement dxfId="33" type="firstRowStripe"/>
      <tableStyleElement dxfId="34" type="secondRowStripe"/>
    </tableStyle>
    <tableStyle count="3" pivot="0" name="Schedule Template-style 3">
      <tableStyleElement dxfId="32" type="headerRow"/>
      <tableStyleElement dxfId="33" type="firstRowStripe"/>
      <tableStyleElement dxfId="34" type="secondRowStripe"/>
    </tableStyle>
    <tableStyle count="3" pivot="0" name="Schedule Template-style 4">
      <tableStyleElement dxfId="32" type="headerRow"/>
      <tableStyleElement dxfId="33" type="firstRowStripe"/>
      <tableStyleElement dxfId="3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Relationship Id="rId3" Type="http://schemas.openxmlformats.org/officeDocument/2006/relationships/image" Target="../media/image5.jpg"/><Relationship Id="rId4" Type="http://schemas.openxmlformats.org/officeDocument/2006/relationships/image" Target="../media/image6.jpg"/><Relationship Id="rId5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190500</xdr:rowOff>
    </xdr:from>
    <xdr:ext cx="4867275" cy="2562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12</xdr:row>
      <xdr:rowOff>142875</xdr:rowOff>
    </xdr:from>
    <xdr:ext cx="7534275" cy="42386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12</xdr:row>
      <xdr:rowOff>95250</xdr:rowOff>
    </xdr:from>
    <xdr:ext cx="7686675" cy="4324350"/>
    <xdr:pic>
      <xdr:nvPicPr>
        <xdr:cNvPr id="0" name="image5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34</xdr:row>
      <xdr:rowOff>209550</xdr:rowOff>
    </xdr:from>
    <xdr:ext cx="7686675" cy="4324350"/>
    <xdr:pic>
      <xdr:nvPicPr>
        <xdr:cNvPr id="0" name="image6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34</xdr:row>
      <xdr:rowOff>209550</xdr:rowOff>
    </xdr:from>
    <xdr:ext cx="7686675" cy="4324350"/>
    <xdr:pic>
      <xdr:nvPicPr>
        <xdr:cNvPr id="0" name="image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895350</xdr:colOff>
      <xdr:row>21</xdr:row>
      <xdr:rowOff>200025</xdr:rowOff>
    </xdr:from>
    <xdr:ext cx="2362200" cy="16287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15</xdr:row>
      <xdr:rowOff>180975</xdr:rowOff>
    </xdr:from>
    <xdr:ext cx="18440400" cy="381000"/>
    <xdr:grpSp>
      <xdr:nvGrpSpPr>
        <xdr:cNvPr id="2" name="Shape 2" title="Drawing"/>
        <xdr:cNvGrpSpPr/>
      </xdr:nvGrpSpPr>
      <xdr:grpSpPr>
        <a:xfrm>
          <a:off x="647550" y="466375"/>
          <a:ext cx="1107300" cy="0"/>
          <a:chOff x="647550" y="466375"/>
          <a:chExt cx="1107300" cy="0"/>
        </a:xfrm>
      </xdr:grpSpPr>
      <xdr:cxnSp>
        <xdr:nvCxnSpPr>
          <xdr:cNvPr id="3" name="Shape 3"/>
          <xdr:cNvCxnSpPr/>
        </xdr:nvCxnSpPr>
        <xdr:spPr>
          <a:xfrm>
            <a:off x="647550" y="466375"/>
            <a:ext cx="1107300" cy="0"/>
          </a:xfrm>
          <a:prstGeom prst="straightConnector1">
            <a:avLst/>
          </a:prstGeom>
          <a:noFill/>
          <a:ln cap="flat" cmpd="sng" w="9525">
            <a:solidFill>
              <a:srgbClr val="F3F3F3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790575</xdr:colOff>
      <xdr:row>2</xdr:row>
      <xdr:rowOff>219075</xdr:rowOff>
    </xdr:from>
    <xdr:ext cx="18440400" cy="381000"/>
    <xdr:grpSp>
      <xdr:nvGrpSpPr>
        <xdr:cNvPr id="2" name="Shape 2" title="Drawing"/>
        <xdr:cNvGrpSpPr/>
      </xdr:nvGrpSpPr>
      <xdr:grpSpPr>
        <a:xfrm>
          <a:off x="466375" y="315375"/>
          <a:ext cx="1137300" cy="0"/>
          <a:chOff x="466375" y="315375"/>
          <a:chExt cx="1137300" cy="0"/>
        </a:xfrm>
      </xdr:grpSpPr>
      <xdr:cxnSp>
        <xdr:nvCxnSpPr>
          <xdr:cNvPr id="4" name="Shape 4"/>
          <xdr:cNvCxnSpPr/>
        </xdr:nvCxnSpPr>
        <xdr:spPr>
          <a:xfrm>
            <a:off x="466375" y="315375"/>
            <a:ext cx="1137300" cy="0"/>
          </a:xfrm>
          <a:prstGeom prst="straightConnector1">
            <a:avLst/>
          </a:prstGeom>
          <a:noFill/>
          <a:ln cap="flat" cmpd="sng" w="9525">
            <a:solidFill>
              <a:srgbClr val="F3F3F3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47650" cy="857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95275" cy="104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276225" cy="95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228600" cy="762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76225" cy="95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228600" cy="762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76225" cy="95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</xdr:row>
      <xdr:rowOff>0</xdr:rowOff>
    </xdr:from>
    <xdr:ext cx="228600" cy="762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76225" cy="95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228600" cy="762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76225" cy="95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76225" cy="95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76225" cy="95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76225" cy="95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K2:N4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chedule Templ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K51:N59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chedule Template-style 2" showColumnStripes="0" showFirstColumn="1" showLastColumn="1" showRowStripes="1"/>
</table>
</file>

<file path=xl/tables/table3.xml><?xml version="1.0" encoding="utf-8"?>
<table xmlns="http://schemas.openxmlformats.org/spreadsheetml/2006/main" headerRowCount="0" ref="K63:N72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chedule Templat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K76:N87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Schedule Templat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ZKikGzmUH_d9pmh8TRW6pDbpi2VOEqU_43OZzl4EZRU/edit" TargetMode="External"/><Relationship Id="rId11" Type="http://schemas.openxmlformats.org/officeDocument/2006/relationships/hyperlink" Target="https://docs.google.com/spreadsheets/u/0/d/1KcarbGulL9PrGdU84CEPB0ecLBw2qUyQWVFILOCO6sM/edit" TargetMode="External"/><Relationship Id="rId22" Type="http://schemas.openxmlformats.org/officeDocument/2006/relationships/hyperlink" Target="https://docs.google.com/spreadsheets/d/1SOV6ApeemGtWAoQW5Ewgv0r20tWFY4ZwVl3xtbTjhcU/edit" TargetMode="External"/><Relationship Id="rId10" Type="http://schemas.openxmlformats.org/officeDocument/2006/relationships/hyperlink" Target="https://docs.google.com/spreadsheets/d/17t83qh3dEurSfPhIFypITeY-AC8nFbLcYi_7qDMGGIU/edit?gid=720405930" TargetMode="External"/><Relationship Id="rId21" Type="http://schemas.openxmlformats.org/officeDocument/2006/relationships/hyperlink" Target="https://docs.google.com/spreadsheets/d/1SOV6ApeemGtWAoQW5Ewgv0r20tWFY4ZwVl3xtbTjhcU/edit" TargetMode="External"/><Relationship Id="rId13" Type="http://schemas.openxmlformats.org/officeDocument/2006/relationships/hyperlink" Target="https://docs.google.com/spreadsheets/d/1z4-gaGtUwbp78ktF0ovJikxBiwgMSkqogl1eyoEQ11M/edit" TargetMode="External"/><Relationship Id="rId12" Type="http://schemas.openxmlformats.org/officeDocument/2006/relationships/hyperlink" Target="https://docs.google.com/spreadsheets/d/1z4-gaGtUwbp78ktF0ovJikxBiwgMSkqogl1eyoEQ11M/edit" TargetMode="External"/><Relationship Id="rId23" Type="http://schemas.openxmlformats.org/officeDocument/2006/relationships/drawing" Target="../drawings/drawing3.xml"/><Relationship Id="rId1" Type="http://schemas.openxmlformats.org/officeDocument/2006/relationships/hyperlink" Target="https://docs.google.com/presentation/d/1wo_UcmbZBPfuVW7aAXMEpGHxmHkinskAUjnWk88J4hM/edit" TargetMode="External"/><Relationship Id="rId2" Type="http://schemas.openxmlformats.org/officeDocument/2006/relationships/hyperlink" Target="https://hawkeyeinnovations.docebosaas.com/pages/243/global-hs-home" TargetMode="External"/><Relationship Id="rId3" Type="http://schemas.openxmlformats.org/officeDocument/2006/relationships/hyperlink" Target="https://docs.google.com/presentation/d/1-iigEcRhgq7rtiIPZvGZK-k8ieAkrdQCBfB6s-yj3lo/edit" TargetMode="External"/><Relationship Id="rId4" Type="http://schemas.openxmlformats.org/officeDocument/2006/relationships/hyperlink" Target="https://docs.google.com/presentation/d/10dUBki5yZS_kiac7VOrfuoE7UdlFdhdNVLbI5dIM7UM/edit" TargetMode="External"/><Relationship Id="rId9" Type="http://schemas.openxmlformats.org/officeDocument/2006/relationships/hyperlink" Target="https://docs.google.com/presentation/d/1-iigEcRhgq7rtiIPZvGZK-k8ieAkrdQCBfB6s-yj3lo/edit" TargetMode="External"/><Relationship Id="rId15" Type="http://schemas.openxmlformats.org/officeDocument/2006/relationships/hyperlink" Target="https://docs.google.com/spreadsheets/d/1z4-gaGtUwbp78ktF0ovJikxBiwgMSkqogl1eyoEQ11M/edit" TargetMode="External"/><Relationship Id="rId14" Type="http://schemas.openxmlformats.org/officeDocument/2006/relationships/hyperlink" Target="https://docs.google.com/spreadsheets/d/1z4-gaGtUwbp78ktF0ovJikxBiwgMSkqogl1eyoEQ11M/edit" TargetMode="External"/><Relationship Id="rId17" Type="http://schemas.openxmlformats.org/officeDocument/2006/relationships/hyperlink" Target="https://docs.google.com/spreadsheets/d/1b0F1qNTJzo0FwmAzLNFQa6m-jL1U-kQIDUvPCP50HNA/edit" TargetMode="External"/><Relationship Id="rId16" Type="http://schemas.openxmlformats.org/officeDocument/2006/relationships/hyperlink" Target="https://docs.google.com/spreadsheets/d/19Mw_HOeBR648r5yQiY6rOQIMq6cX2RWNBTyQGvi66mo/edit" TargetMode="External"/><Relationship Id="rId5" Type="http://schemas.openxmlformats.org/officeDocument/2006/relationships/hyperlink" Target="https://docs.google.com/spreadsheets/d/1WEmA3JeXluU0DIh34rMZ0HZLjNHzudywIlB_8lbuzQI/edit" TargetMode="External"/><Relationship Id="rId19" Type="http://schemas.openxmlformats.org/officeDocument/2006/relationships/hyperlink" Target="https://docs.google.com/presentation/d/1pT_LEol1iFDBC_2TCpSPpsMDpO5Ufi4YzPLALIFNfuE/edit" TargetMode="External"/><Relationship Id="rId6" Type="http://schemas.openxmlformats.org/officeDocument/2006/relationships/hyperlink" Target="https://docs.google.com/spreadsheets/d/1WEmA3JeXluU0DIh34rMZ0HZLjNHzudywIlB_8lbuzQI/edit" TargetMode="External"/><Relationship Id="rId18" Type="http://schemas.openxmlformats.org/officeDocument/2006/relationships/hyperlink" Target="https://docs.google.com/spreadsheets/d/1b0F1qNTJzo0FwmAzLNFQa6m-jL1U-kQIDUvPCP50HNA/edit" TargetMode="External"/><Relationship Id="rId7" Type="http://schemas.openxmlformats.org/officeDocument/2006/relationships/hyperlink" Target="https://docs.google.com/presentation/d/1-iigEcRhgq7rtiIPZvGZK-k8ieAkrdQCBfB6s-yj3lo/edit" TargetMode="External"/><Relationship Id="rId8" Type="http://schemas.openxmlformats.org/officeDocument/2006/relationships/hyperlink" Target="https://docs.google.com/spreadsheets/d/1uLAkcb9dKoqL317gk7Tpe-Sj43hquFlyAIGKDWnqSS8/edit?gid=1812451897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uyvrfi8tvjKHgiEmAPoXJ40-4SQBazzlxLFOR4-SDc/edit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presentation/d/1otfDXevyYMi_N7tIs9mm4PcNkSIVFC90fQMeiu7xWO0/edit" TargetMode="External"/><Relationship Id="rId3" Type="http://schemas.openxmlformats.org/officeDocument/2006/relationships/hyperlink" Target="https://docs.google.com/presentation/d/1otfDXevyYMi_N7tIs9mm4PcNkSIVFC90fQMeiu7xWO0/edit" TargetMode="External"/><Relationship Id="rId4" Type="http://schemas.openxmlformats.org/officeDocument/2006/relationships/hyperlink" Target="https://docs.google.com/presentation/d/1otfDXevyYMi_N7tIs9mm4PcNkSIVFC90fQMeiu7xWO0/edit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docs.google.com/presentation/d/155q-Erva0iSfTD5_-k6nZGxg6G7ChP4qahujgQVWmlo/edit" TargetMode="External"/><Relationship Id="rId6" Type="http://schemas.openxmlformats.org/officeDocument/2006/relationships/hyperlink" Target="https://docs.google.com/presentation/d/1OJzRab9rNSAfj5pKZWaTG1_OnsYautcWMfVlgUfOhPs/edit" TargetMode="External"/><Relationship Id="rId7" Type="http://schemas.openxmlformats.org/officeDocument/2006/relationships/hyperlink" Target="https://docs.google.com/presentation/d/1wo_UcmbZBPfuVW7aAXMEpGHxmHkinskAUjnWk88J4hM/edit" TargetMode="External"/><Relationship Id="rId8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presentation/d/1CHxPn1SeT99S-BAcv1seYliA84EkQkvFZX_-huPI36M/edit" TargetMode="External"/><Relationship Id="rId3" Type="http://schemas.openxmlformats.org/officeDocument/2006/relationships/drawing" Target="../drawings/drawing22.xml"/><Relationship Id="rId4" Type="http://schemas.openxmlformats.org/officeDocument/2006/relationships/vmlDrawing" Target="../drawings/vmlDrawing3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qg43P_n7bgp4IQFQwMKwaiFnzlwxEB6RUuEUGpro7c/edit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F7QotkTBPLFOEL0E7hmJkdmaFj4T1yjISATJT2nBvs/edit?gid=165962780" TargetMode="External"/><Relationship Id="rId2" Type="http://schemas.openxmlformats.org/officeDocument/2006/relationships/hyperlink" Target="https://docs.google.com/spreadsheets/d/1dSTs2m22ZeSRkgHvYT1_pqndCYJBL6zUgz2eOKU_Ki8/edit?gid=889037472" TargetMode="External"/><Relationship Id="rId3" Type="http://schemas.openxmlformats.org/officeDocument/2006/relationships/hyperlink" Target="https://docs.google.com/spreadsheets/d/1gqg43P_n7bgp4IQFQwMKwaiFnzlwxEB6RUuEUGpro7c/edit" TargetMode="External"/><Relationship Id="rId4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EmA3JeXluU0DIh34rMZ0HZLjNHzudywIlB_8lbuzQI/edit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4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GxMp20A3ke7NHypVgKpoGScO_e384XXQ/edit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docs.google.com/spreadsheets/d/1ZWncQf7viTXz0pYFvpqIIu5whisLW2C6Gv9vo4wnLa0/edit" TargetMode="External"/><Relationship Id="rId3" Type="http://schemas.openxmlformats.org/officeDocument/2006/relationships/drawing" Target="../drawings/drawing32.xml"/><Relationship Id="rId4" Type="http://schemas.openxmlformats.org/officeDocument/2006/relationships/vmlDrawing" Target="../drawings/vmlDrawing5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Mw_HOeBR648r5yQiY6rOQIMq6cX2RWNBTyQGvi66mo/edit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0F1qNTJzo0FwmAzLNFQa6m-jL1U-kQIDUvPCP50HNA/edit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6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3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>
      <c r="A3" s="4" t="s">
        <v>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>
      <c r="A6" s="6">
        <v>7.0</v>
      </c>
      <c r="B6" s="7"/>
      <c r="C6" s="8">
        <v>46096.0</v>
      </c>
      <c r="D6" s="9"/>
      <c r="E6" s="9"/>
      <c r="F6" s="10"/>
      <c r="G6" s="10"/>
      <c r="H6" s="10"/>
      <c r="I6" s="10"/>
      <c r="J6" s="10"/>
      <c r="K6" s="10"/>
      <c r="L6" s="1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>
      <c r="A7" s="12" t="s">
        <v>2</v>
      </c>
      <c r="B7" s="13" t="s">
        <v>3</v>
      </c>
      <c r="C7" s="14" t="s">
        <v>4</v>
      </c>
      <c r="D7" s="14" t="s">
        <v>5</v>
      </c>
      <c r="E7" s="14" t="s">
        <v>6</v>
      </c>
      <c r="F7" s="14" t="s">
        <v>7</v>
      </c>
      <c r="G7" s="14" t="s">
        <v>8</v>
      </c>
      <c r="H7" s="14" t="s">
        <v>9</v>
      </c>
      <c r="I7" s="14" t="s">
        <v>10</v>
      </c>
      <c r="J7" s="14" t="s">
        <v>11</v>
      </c>
      <c r="K7" s="14" t="s">
        <v>12</v>
      </c>
      <c r="L7" s="15" t="s">
        <v>13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>
      <c r="A8" s="16">
        <v>1.0</v>
      </c>
      <c r="B8" s="17">
        <v>0.4583333333333333</v>
      </c>
      <c r="C8" s="5"/>
      <c r="D8" s="5"/>
      <c r="E8" s="5"/>
      <c r="F8" s="18" t="s">
        <v>14</v>
      </c>
      <c r="G8" s="18" t="s">
        <v>14</v>
      </c>
      <c r="H8" s="18" t="s">
        <v>14</v>
      </c>
      <c r="I8" s="18" t="s">
        <v>14</v>
      </c>
      <c r="J8" s="18" t="s">
        <v>14</v>
      </c>
      <c r="K8" s="18" t="s">
        <v>14</v>
      </c>
      <c r="L8" s="19" t="s">
        <v>14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>
      <c r="A9" s="20">
        <v>2.0</v>
      </c>
      <c r="B9" s="21" t="s">
        <v>15</v>
      </c>
      <c r="C9" s="22"/>
      <c r="D9" s="22"/>
      <c r="E9" s="22"/>
      <c r="F9" s="23" t="s">
        <v>16</v>
      </c>
      <c r="G9" s="23" t="s">
        <v>16</v>
      </c>
      <c r="H9" s="23" t="s">
        <v>16</v>
      </c>
      <c r="I9" s="23" t="s">
        <v>16</v>
      </c>
      <c r="J9" s="23" t="s">
        <v>16</v>
      </c>
      <c r="K9" s="23" t="s">
        <v>16</v>
      </c>
      <c r="L9" s="24" t="s">
        <v>16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>
      <c r="A10" s="16">
        <v>3.0</v>
      </c>
      <c r="B10" s="25" t="s">
        <v>15</v>
      </c>
      <c r="C10" s="5"/>
      <c r="D10" s="5"/>
      <c r="E10" s="5"/>
      <c r="F10" s="18" t="s">
        <v>16</v>
      </c>
      <c r="G10" s="18" t="s">
        <v>16</v>
      </c>
      <c r="H10" s="18" t="s">
        <v>16</v>
      </c>
      <c r="I10" s="18" t="s">
        <v>16</v>
      </c>
      <c r="J10" s="18" t="s">
        <v>16</v>
      </c>
      <c r="K10" s="18" t="s">
        <v>16</v>
      </c>
      <c r="L10" s="19" t="s">
        <v>16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>
      <c r="A11" s="20">
        <v>4.0</v>
      </c>
      <c r="B11" s="26"/>
      <c r="C11" s="22"/>
      <c r="D11" s="22"/>
      <c r="E11" s="22"/>
      <c r="F11" s="23" t="s">
        <v>16</v>
      </c>
      <c r="G11" s="23" t="s">
        <v>17</v>
      </c>
      <c r="H11" s="23" t="s">
        <v>18</v>
      </c>
      <c r="I11" s="22"/>
      <c r="J11" s="22"/>
      <c r="K11" s="22"/>
      <c r="L11" s="2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>
      <c r="A12" s="16">
        <v>5.0</v>
      </c>
      <c r="B12" s="28"/>
      <c r="C12" s="5"/>
      <c r="D12" s="5"/>
      <c r="E12" s="5"/>
      <c r="F12" s="5"/>
      <c r="G12" s="5"/>
      <c r="H12" s="5"/>
      <c r="I12" s="5"/>
      <c r="J12" s="5"/>
      <c r="K12" s="5"/>
      <c r="L12" s="2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>
      <c r="A13" s="30">
        <v>6.0</v>
      </c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>
      <c r="A15" s="34">
        <v>9.0</v>
      </c>
      <c r="B15" s="7"/>
      <c r="C15" s="8">
        <v>46097.0</v>
      </c>
      <c r="D15" s="9"/>
      <c r="E15" s="9"/>
      <c r="F15" s="10"/>
      <c r="G15" s="10"/>
      <c r="H15" s="10"/>
      <c r="I15" s="10"/>
      <c r="J15" s="10"/>
      <c r="K15" s="10"/>
      <c r="L15" s="1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>
      <c r="A16" s="12" t="s">
        <v>2</v>
      </c>
      <c r="B16" s="13" t="s">
        <v>3</v>
      </c>
      <c r="C16" s="14" t="s">
        <v>4</v>
      </c>
      <c r="D16" s="14" t="s">
        <v>5</v>
      </c>
      <c r="E16" s="14" t="s">
        <v>6</v>
      </c>
      <c r="F16" s="14" t="s">
        <v>7</v>
      </c>
      <c r="G16" s="14" t="s">
        <v>8</v>
      </c>
      <c r="H16" s="14" t="s">
        <v>9</v>
      </c>
      <c r="I16" s="14" t="s">
        <v>10</v>
      </c>
      <c r="J16" s="14" t="s">
        <v>11</v>
      </c>
      <c r="K16" s="14" t="s">
        <v>12</v>
      </c>
      <c r="L16" s="15" t="s">
        <v>13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>
      <c r="A17" s="16">
        <v>1.0</v>
      </c>
      <c r="B17" s="17">
        <v>0.4583333333333333</v>
      </c>
      <c r="C17" s="5"/>
      <c r="D17" s="18" t="s">
        <v>14</v>
      </c>
      <c r="E17" s="35" t="s">
        <v>19</v>
      </c>
      <c r="F17" s="35" t="s">
        <v>20</v>
      </c>
      <c r="G17" s="18" t="s">
        <v>14</v>
      </c>
      <c r="H17" s="18" t="s">
        <v>14</v>
      </c>
      <c r="I17" s="35" t="s">
        <v>21</v>
      </c>
      <c r="J17" s="35" t="s">
        <v>21</v>
      </c>
      <c r="K17" s="35" t="s">
        <v>19</v>
      </c>
      <c r="L17" s="36" t="s">
        <v>19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>
      <c r="A18" s="20">
        <v>2.0</v>
      </c>
      <c r="B18" s="21" t="s">
        <v>15</v>
      </c>
      <c r="C18" s="22"/>
      <c r="D18" s="23" t="s">
        <v>16</v>
      </c>
      <c r="E18" s="37" t="s">
        <v>22</v>
      </c>
      <c r="F18" s="37" t="s">
        <v>22</v>
      </c>
      <c r="G18" s="23" t="s">
        <v>16</v>
      </c>
      <c r="H18" s="23" t="s">
        <v>16</v>
      </c>
      <c r="I18" s="37" t="s">
        <v>22</v>
      </c>
      <c r="J18" s="37" t="s">
        <v>22</v>
      </c>
      <c r="K18" s="37" t="s">
        <v>22</v>
      </c>
      <c r="L18" s="38" t="s">
        <v>22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>
      <c r="A19" s="16">
        <v>3.0</v>
      </c>
      <c r="B19" s="25" t="s">
        <v>15</v>
      </c>
      <c r="C19" s="5"/>
      <c r="D19" s="18" t="s">
        <v>16</v>
      </c>
      <c r="E19" s="18" t="s">
        <v>16</v>
      </c>
      <c r="F19" s="18" t="s">
        <v>16</v>
      </c>
      <c r="G19" s="18" t="s">
        <v>16</v>
      </c>
      <c r="H19" s="18" t="s">
        <v>16</v>
      </c>
      <c r="I19" s="18" t="s">
        <v>16</v>
      </c>
      <c r="J19" s="35" t="s">
        <v>22</v>
      </c>
      <c r="K19" s="35" t="s">
        <v>22</v>
      </c>
      <c r="L19" s="36" t="s">
        <v>22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>
      <c r="A20" s="20">
        <v>4.0</v>
      </c>
      <c r="B20" s="21" t="s">
        <v>15</v>
      </c>
      <c r="C20" s="22"/>
      <c r="D20" s="37" t="s">
        <v>22</v>
      </c>
      <c r="E20" s="37" t="s">
        <v>22</v>
      </c>
      <c r="F20" s="37" t="s">
        <v>22</v>
      </c>
      <c r="G20" s="37" t="s">
        <v>22</v>
      </c>
      <c r="H20" s="37" t="s">
        <v>22</v>
      </c>
      <c r="I20" s="37" t="s">
        <v>22</v>
      </c>
      <c r="J20" s="37" t="s">
        <v>22</v>
      </c>
      <c r="K20" s="37" t="s">
        <v>22</v>
      </c>
      <c r="L20" s="38" t="s">
        <v>22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>
      <c r="A21" s="16">
        <v>5.0</v>
      </c>
      <c r="B21" s="28"/>
      <c r="C21" s="5"/>
      <c r="D21" s="5"/>
      <c r="E21" s="5"/>
      <c r="F21" s="5"/>
      <c r="G21" s="5"/>
      <c r="H21" s="5"/>
      <c r="I21" s="5"/>
      <c r="J21" s="5"/>
      <c r="K21" s="5"/>
      <c r="L21" s="2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>
      <c r="A22" s="30">
        <v>6.0</v>
      </c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>
      <c r="A24" s="34">
        <v>8.0</v>
      </c>
      <c r="B24" s="7"/>
      <c r="C24" s="8">
        <v>46098.0</v>
      </c>
      <c r="D24" s="9"/>
      <c r="E24" s="9"/>
      <c r="F24" s="10"/>
      <c r="G24" s="10"/>
      <c r="H24" s="10"/>
      <c r="I24" s="10"/>
      <c r="J24" s="10"/>
      <c r="K24" s="10"/>
      <c r="L24" s="1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>
      <c r="A25" s="12" t="s">
        <v>2</v>
      </c>
      <c r="B25" s="13" t="s">
        <v>3</v>
      </c>
      <c r="C25" s="14" t="s">
        <v>4</v>
      </c>
      <c r="D25" s="14" t="s">
        <v>5</v>
      </c>
      <c r="E25" s="14" t="s">
        <v>6</v>
      </c>
      <c r="F25" s="14" t="s">
        <v>7</v>
      </c>
      <c r="G25" s="14" t="s">
        <v>8</v>
      </c>
      <c r="H25" s="14" t="s">
        <v>9</v>
      </c>
      <c r="I25" s="14" t="s">
        <v>10</v>
      </c>
      <c r="J25" s="14" t="s">
        <v>11</v>
      </c>
      <c r="K25" s="14" t="s">
        <v>12</v>
      </c>
      <c r="L25" s="15" t="s">
        <v>13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>
      <c r="A26" s="16">
        <v>1.0</v>
      </c>
      <c r="B26" s="17" t="s">
        <v>23</v>
      </c>
      <c r="C26" s="5"/>
      <c r="D26" s="18" t="s">
        <v>24</v>
      </c>
      <c r="E26" s="18" t="s">
        <v>24</v>
      </c>
      <c r="F26" s="18" t="s">
        <v>24</v>
      </c>
      <c r="G26" s="18" t="s">
        <v>24</v>
      </c>
      <c r="H26" s="35" t="s">
        <v>25</v>
      </c>
      <c r="I26" s="35" t="s">
        <v>25</v>
      </c>
      <c r="J26" s="35" t="s">
        <v>25</v>
      </c>
      <c r="K26" s="35" t="s">
        <v>25</v>
      </c>
      <c r="L26" s="36" t="s">
        <v>26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>
      <c r="A27" s="20">
        <v>2.0</v>
      </c>
      <c r="B27" s="21" t="s">
        <v>15</v>
      </c>
      <c r="C27" s="22"/>
      <c r="D27" s="23" t="s">
        <v>27</v>
      </c>
      <c r="E27" s="23" t="s">
        <v>27</v>
      </c>
      <c r="F27" s="23" t="s">
        <v>27</v>
      </c>
      <c r="G27" s="23" t="s">
        <v>27</v>
      </c>
      <c r="H27" s="37" t="s">
        <v>22</v>
      </c>
      <c r="I27" s="37" t="s">
        <v>22</v>
      </c>
      <c r="J27" s="37" t="s">
        <v>22</v>
      </c>
      <c r="K27" s="37" t="s">
        <v>22</v>
      </c>
      <c r="L27" s="2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>
      <c r="A28" s="16">
        <v>3.0</v>
      </c>
      <c r="B28" s="25" t="s">
        <v>15</v>
      </c>
      <c r="C28" s="5"/>
      <c r="D28" s="18" t="s">
        <v>27</v>
      </c>
      <c r="E28" s="18" t="s">
        <v>27</v>
      </c>
      <c r="F28" s="18" t="s">
        <v>27</v>
      </c>
      <c r="G28" s="18" t="s">
        <v>27</v>
      </c>
      <c r="H28" s="35" t="s">
        <v>22</v>
      </c>
      <c r="I28" s="35" t="s">
        <v>22</v>
      </c>
      <c r="J28" s="35" t="s">
        <v>22</v>
      </c>
      <c r="K28" s="35" t="s">
        <v>22</v>
      </c>
      <c r="L28" s="2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>
      <c r="A29" s="20">
        <v>4.0</v>
      </c>
      <c r="B29" s="21" t="s">
        <v>15</v>
      </c>
      <c r="C29" s="22"/>
      <c r="D29" s="23" t="s">
        <v>27</v>
      </c>
      <c r="E29" s="23" t="s">
        <v>27</v>
      </c>
      <c r="F29" s="23" t="s">
        <v>27</v>
      </c>
      <c r="G29" s="23" t="s">
        <v>27</v>
      </c>
      <c r="H29" s="22"/>
      <c r="I29" s="22"/>
      <c r="J29" s="22"/>
      <c r="K29" s="22"/>
      <c r="L29" s="2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>
      <c r="A30" s="16">
        <v>5.0</v>
      </c>
      <c r="B30" s="28"/>
      <c r="C30" s="5"/>
      <c r="D30" s="5"/>
      <c r="E30" s="5"/>
      <c r="F30" s="5"/>
      <c r="G30" s="5"/>
      <c r="H30" s="5"/>
      <c r="I30" s="5"/>
      <c r="J30" s="5"/>
      <c r="K30" s="5"/>
      <c r="L30" s="2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>
      <c r="A31" s="30">
        <v>6.0</v>
      </c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>
      <c r="A33" s="34">
        <v>8.0</v>
      </c>
      <c r="B33" s="7"/>
      <c r="C33" s="8">
        <v>46099.0</v>
      </c>
      <c r="D33" s="9"/>
      <c r="E33" s="9"/>
      <c r="F33" s="10"/>
      <c r="G33" s="10"/>
      <c r="H33" s="10"/>
      <c r="I33" s="10"/>
      <c r="J33" s="10"/>
      <c r="K33" s="10"/>
      <c r="L33" s="1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>
      <c r="A34" s="12" t="s">
        <v>2</v>
      </c>
      <c r="B34" s="13" t="s">
        <v>3</v>
      </c>
      <c r="C34" s="14" t="s">
        <v>4</v>
      </c>
      <c r="D34" s="14" t="s">
        <v>5</v>
      </c>
      <c r="E34" s="14" t="s">
        <v>6</v>
      </c>
      <c r="F34" s="14" t="s">
        <v>7</v>
      </c>
      <c r="G34" s="14" t="s">
        <v>8</v>
      </c>
      <c r="H34" s="14" t="s">
        <v>9</v>
      </c>
      <c r="I34" s="14" t="s">
        <v>10</v>
      </c>
      <c r="J34" s="14" t="s">
        <v>11</v>
      </c>
      <c r="K34" s="14" t="s">
        <v>12</v>
      </c>
      <c r="L34" s="15" t="s">
        <v>13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>
      <c r="A35" s="16">
        <v>1.0</v>
      </c>
      <c r="B35" s="17" t="s">
        <v>28</v>
      </c>
      <c r="C35" s="18" t="s">
        <v>24</v>
      </c>
      <c r="D35" s="35" t="s">
        <v>29</v>
      </c>
      <c r="E35" s="18" t="s">
        <v>30</v>
      </c>
      <c r="F35" s="18" t="s">
        <v>30</v>
      </c>
      <c r="G35" s="18" t="s">
        <v>30</v>
      </c>
      <c r="H35" s="18" t="s">
        <v>29</v>
      </c>
      <c r="I35" s="18" t="s">
        <v>29</v>
      </c>
      <c r="J35" s="18" t="s">
        <v>30</v>
      </c>
      <c r="K35" s="35" t="s">
        <v>26</v>
      </c>
      <c r="L35" s="2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>
      <c r="A36" s="20">
        <v>2.0</v>
      </c>
      <c r="B36" s="21" t="s">
        <v>15</v>
      </c>
      <c r="C36" s="37" t="s">
        <v>31</v>
      </c>
      <c r="D36" s="23" t="s">
        <v>27</v>
      </c>
      <c r="E36" s="23" t="s">
        <v>27</v>
      </c>
      <c r="F36" s="37" t="s">
        <v>32</v>
      </c>
      <c r="G36" s="23" t="s">
        <v>27</v>
      </c>
      <c r="H36" s="23" t="s">
        <v>32</v>
      </c>
      <c r="I36" s="23" t="s">
        <v>32</v>
      </c>
      <c r="J36" s="23" t="s">
        <v>27</v>
      </c>
      <c r="K36" s="22"/>
      <c r="L36" s="2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>
      <c r="A37" s="16">
        <v>3.0</v>
      </c>
      <c r="B37" s="25" t="s">
        <v>15</v>
      </c>
      <c r="C37" s="35" t="s">
        <v>31</v>
      </c>
      <c r="D37" s="18" t="s">
        <v>33</v>
      </c>
      <c r="E37" s="18" t="s">
        <v>27</v>
      </c>
      <c r="F37" s="35" t="s">
        <v>32</v>
      </c>
      <c r="G37" s="18" t="s">
        <v>27</v>
      </c>
      <c r="H37" s="18" t="s">
        <v>32</v>
      </c>
      <c r="I37" s="18" t="s">
        <v>32</v>
      </c>
      <c r="J37" s="18" t="s">
        <v>27</v>
      </c>
      <c r="K37" s="5"/>
      <c r="L37" s="2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>
      <c r="A38" s="20">
        <v>4.0</v>
      </c>
      <c r="B38" s="26"/>
      <c r="C38" s="22"/>
      <c r="D38" s="23" t="s">
        <v>27</v>
      </c>
      <c r="E38" s="37" t="s">
        <v>32</v>
      </c>
      <c r="F38" s="37" t="s">
        <v>32</v>
      </c>
      <c r="G38" s="22"/>
      <c r="H38" s="22"/>
      <c r="I38" s="22"/>
      <c r="J38" s="22"/>
      <c r="K38" s="22"/>
      <c r="L38" s="2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>
      <c r="A39" s="16">
        <v>5.0</v>
      </c>
      <c r="B39" s="25" t="s">
        <v>34</v>
      </c>
      <c r="C39" s="18" t="s">
        <v>24</v>
      </c>
      <c r="D39" s="35" t="s">
        <v>35</v>
      </c>
      <c r="E39" s="35" t="s">
        <v>32</v>
      </c>
      <c r="F39" s="18" t="s">
        <v>27</v>
      </c>
      <c r="G39" s="5"/>
      <c r="H39" s="5"/>
      <c r="I39" s="5"/>
      <c r="J39" s="5"/>
      <c r="K39" s="5"/>
      <c r="L39" s="29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>
      <c r="A40" s="30">
        <v>6.0</v>
      </c>
      <c r="B40" s="39" t="s">
        <v>36</v>
      </c>
      <c r="C40" s="40" t="s">
        <v>31</v>
      </c>
      <c r="D40" s="32"/>
      <c r="E40" s="32"/>
      <c r="F40" s="32"/>
      <c r="G40" s="32"/>
      <c r="H40" s="32"/>
      <c r="I40" s="32"/>
      <c r="J40" s="32"/>
      <c r="K40" s="32"/>
      <c r="L40" s="3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>
      <c r="A42" s="34">
        <v>8.0</v>
      </c>
      <c r="B42" s="7"/>
      <c r="C42" s="8">
        <v>46100.0</v>
      </c>
      <c r="D42" s="9"/>
      <c r="E42" s="9"/>
      <c r="F42" s="10"/>
      <c r="G42" s="10"/>
      <c r="H42" s="10"/>
      <c r="I42" s="10"/>
      <c r="J42" s="10"/>
      <c r="K42" s="10"/>
      <c r="L42" s="1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>
      <c r="A43" s="12" t="s">
        <v>2</v>
      </c>
      <c r="B43" s="13" t="s">
        <v>3</v>
      </c>
      <c r="C43" s="14" t="s">
        <v>4</v>
      </c>
      <c r="D43" s="14" t="s">
        <v>5</v>
      </c>
      <c r="E43" s="14" t="s">
        <v>6</v>
      </c>
      <c r="F43" s="14" t="s">
        <v>7</v>
      </c>
      <c r="G43" s="14" t="s">
        <v>8</v>
      </c>
      <c r="H43" s="14" t="s">
        <v>9</v>
      </c>
      <c r="I43" s="14" t="s">
        <v>10</v>
      </c>
      <c r="J43" s="14" t="s">
        <v>11</v>
      </c>
      <c r="K43" s="14" t="s">
        <v>12</v>
      </c>
      <c r="L43" s="15" t="s">
        <v>13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>
      <c r="A44" s="16">
        <v>1.0</v>
      </c>
      <c r="B44" s="17" t="s">
        <v>28</v>
      </c>
      <c r="C44" s="18" t="s">
        <v>31</v>
      </c>
      <c r="D44" s="18" t="s">
        <v>30</v>
      </c>
      <c r="E44" s="18" t="s">
        <v>30</v>
      </c>
      <c r="F44" s="18" t="s">
        <v>29</v>
      </c>
      <c r="G44" s="18" t="s">
        <v>29</v>
      </c>
      <c r="H44" s="18" t="s">
        <v>29</v>
      </c>
      <c r="I44" s="18" t="s">
        <v>30</v>
      </c>
      <c r="J44" s="18" t="s">
        <v>37</v>
      </c>
      <c r="K44" s="35" t="s">
        <v>26</v>
      </c>
      <c r="L44" s="2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>
      <c r="A45" s="20">
        <v>2.0</v>
      </c>
      <c r="B45" s="21" t="s">
        <v>38</v>
      </c>
      <c r="C45" s="23" t="s">
        <v>24</v>
      </c>
      <c r="D45" s="23" t="s">
        <v>32</v>
      </c>
      <c r="E45" s="23" t="s">
        <v>27</v>
      </c>
      <c r="F45" s="23" t="s">
        <v>32</v>
      </c>
      <c r="G45" s="23" t="s">
        <v>32</v>
      </c>
      <c r="H45" s="23" t="s">
        <v>32</v>
      </c>
      <c r="I45" s="23" t="s">
        <v>27</v>
      </c>
      <c r="J45" s="23" t="s">
        <v>39</v>
      </c>
      <c r="K45" s="22"/>
      <c r="L45" s="2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>
      <c r="A46" s="16">
        <v>3.0</v>
      </c>
      <c r="B46" s="25" t="s">
        <v>15</v>
      </c>
      <c r="C46" s="18" t="s">
        <v>24</v>
      </c>
      <c r="D46" s="18" t="s">
        <v>32</v>
      </c>
      <c r="E46" s="18" t="s">
        <v>32</v>
      </c>
      <c r="F46" s="18" t="s">
        <v>27</v>
      </c>
      <c r="G46" s="18" t="s">
        <v>27</v>
      </c>
      <c r="H46" s="18" t="s">
        <v>32</v>
      </c>
      <c r="I46" s="18" t="s">
        <v>27</v>
      </c>
      <c r="J46" s="18" t="s">
        <v>39</v>
      </c>
      <c r="K46" s="5"/>
      <c r="L46" s="2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>
      <c r="A47" s="20">
        <v>4.0</v>
      </c>
      <c r="B47" s="26"/>
      <c r="C47" s="22"/>
      <c r="D47" s="23" t="s">
        <v>32</v>
      </c>
      <c r="E47" s="23" t="s">
        <v>32</v>
      </c>
      <c r="F47" s="23" t="s">
        <v>27</v>
      </c>
      <c r="G47" s="23" t="s">
        <v>27</v>
      </c>
      <c r="H47" s="23" t="s">
        <v>32</v>
      </c>
      <c r="I47" s="23" t="s">
        <v>27</v>
      </c>
      <c r="J47" s="23" t="s">
        <v>40</v>
      </c>
      <c r="K47" s="22"/>
      <c r="L47" s="2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>
      <c r="A48" s="16">
        <v>5.0</v>
      </c>
      <c r="B48" s="25" t="s">
        <v>34</v>
      </c>
      <c r="C48" s="18" t="s">
        <v>31</v>
      </c>
      <c r="D48" s="18" t="s">
        <v>41</v>
      </c>
      <c r="E48" s="18" t="s">
        <v>32</v>
      </c>
      <c r="F48" s="18" t="s">
        <v>27</v>
      </c>
      <c r="G48" s="18" t="s">
        <v>40</v>
      </c>
      <c r="H48" s="18" t="s">
        <v>40</v>
      </c>
      <c r="I48" s="18" t="s">
        <v>39</v>
      </c>
      <c r="J48" s="18" t="s">
        <v>40</v>
      </c>
      <c r="K48" s="5"/>
      <c r="L48" s="2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>
      <c r="A49" s="30">
        <v>6.0</v>
      </c>
      <c r="B49" s="39" t="s">
        <v>36</v>
      </c>
      <c r="C49" s="41" t="s">
        <v>24</v>
      </c>
      <c r="D49" s="32"/>
      <c r="E49" s="32"/>
      <c r="F49" s="32"/>
      <c r="G49" s="32"/>
      <c r="H49" s="32"/>
      <c r="I49" s="32"/>
      <c r="J49" s="32"/>
      <c r="K49" s="32"/>
      <c r="L49" s="3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>
      <c r="A52" s="34">
        <v>8.0</v>
      </c>
      <c r="B52" s="7"/>
      <c r="C52" s="8">
        <v>46101.0</v>
      </c>
      <c r="D52" s="9"/>
      <c r="E52" s="9"/>
      <c r="F52" s="10"/>
      <c r="G52" s="10"/>
      <c r="H52" s="10"/>
      <c r="I52" s="10"/>
      <c r="J52" s="10"/>
      <c r="K52" s="10"/>
      <c r="L52" s="1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>
      <c r="A53" s="12" t="s">
        <v>2</v>
      </c>
      <c r="B53" s="13" t="s">
        <v>3</v>
      </c>
      <c r="C53" s="14" t="s">
        <v>4</v>
      </c>
      <c r="D53" s="14" t="s">
        <v>5</v>
      </c>
      <c r="E53" s="14" t="s">
        <v>6</v>
      </c>
      <c r="F53" s="14" t="s">
        <v>7</v>
      </c>
      <c r="G53" s="14" t="s">
        <v>8</v>
      </c>
      <c r="H53" s="14" t="s">
        <v>9</v>
      </c>
      <c r="I53" s="14" t="s">
        <v>10</v>
      </c>
      <c r="J53" s="14" t="s">
        <v>11</v>
      </c>
      <c r="K53" s="14" t="s">
        <v>12</v>
      </c>
      <c r="L53" s="15" t="s">
        <v>13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42"/>
    </row>
    <row r="54">
      <c r="A54" s="16">
        <v>1.0</v>
      </c>
      <c r="B54" s="17" t="s">
        <v>28</v>
      </c>
      <c r="C54" s="18" t="s">
        <v>24</v>
      </c>
      <c r="D54" s="18" t="s">
        <v>29</v>
      </c>
      <c r="E54" s="18" t="s">
        <v>29</v>
      </c>
      <c r="F54" s="18" t="s">
        <v>30</v>
      </c>
      <c r="G54" s="18" t="s">
        <v>30</v>
      </c>
      <c r="H54" s="18" t="s">
        <v>29</v>
      </c>
      <c r="I54" s="18" t="s">
        <v>30</v>
      </c>
      <c r="J54" s="18" t="s">
        <v>37</v>
      </c>
      <c r="K54" s="35" t="s">
        <v>26</v>
      </c>
      <c r="L54" s="29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42"/>
    </row>
    <row r="55">
      <c r="A55" s="20">
        <v>2.0</v>
      </c>
      <c r="B55" s="21" t="s">
        <v>15</v>
      </c>
      <c r="C55" s="23" t="s">
        <v>31</v>
      </c>
      <c r="D55" s="23" t="s">
        <v>27</v>
      </c>
      <c r="E55" s="23" t="s">
        <v>32</v>
      </c>
      <c r="F55" s="23" t="s">
        <v>27</v>
      </c>
      <c r="G55" s="23" t="s">
        <v>27</v>
      </c>
      <c r="H55" s="23" t="s">
        <v>32</v>
      </c>
      <c r="I55" s="23" t="s">
        <v>27</v>
      </c>
      <c r="J55" s="23" t="s">
        <v>39</v>
      </c>
      <c r="K55" s="22"/>
      <c r="L55" s="2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42"/>
    </row>
    <row r="56">
      <c r="A56" s="16">
        <v>3.0</v>
      </c>
      <c r="B56" s="25" t="s">
        <v>15</v>
      </c>
      <c r="C56" s="18" t="s">
        <v>31</v>
      </c>
      <c r="D56" s="18" t="s">
        <v>33</v>
      </c>
      <c r="E56" s="18" t="s">
        <v>32</v>
      </c>
      <c r="F56" s="18" t="s">
        <v>27</v>
      </c>
      <c r="G56" s="18" t="s">
        <v>32</v>
      </c>
      <c r="H56" s="18" t="s">
        <v>32</v>
      </c>
      <c r="I56" s="18" t="s">
        <v>27</v>
      </c>
      <c r="J56" s="18" t="s">
        <v>40</v>
      </c>
      <c r="K56" s="5"/>
      <c r="L56" s="29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42"/>
    </row>
    <row r="57">
      <c r="A57" s="20">
        <v>4.0</v>
      </c>
      <c r="B57" s="26"/>
      <c r="C57" s="22"/>
      <c r="D57" s="23" t="s">
        <v>27</v>
      </c>
      <c r="E57" s="23" t="s">
        <v>27</v>
      </c>
      <c r="F57" s="23" t="s">
        <v>32</v>
      </c>
      <c r="G57" s="23" t="s">
        <v>32</v>
      </c>
      <c r="H57" s="23" t="s">
        <v>32</v>
      </c>
      <c r="I57" s="23" t="s">
        <v>27</v>
      </c>
      <c r="J57" s="23" t="s">
        <v>40</v>
      </c>
      <c r="K57" s="22"/>
      <c r="L57" s="2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42"/>
    </row>
    <row r="58">
      <c r="A58" s="16">
        <v>5.0</v>
      </c>
      <c r="B58" s="25" t="s">
        <v>34</v>
      </c>
      <c r="C58" s="18" t="s">
        <v>24</v>
      </c>
      <c r="D58" s="18" t="s">
        <v>42</v>
      </c>
      <c r="E58" s="18" t="s">
        <v>27</v>
      </c>
      <c r="F58" s="18" t="s">
        <v>32</v>
      </c>
      <c r="G58" s="18" t="s">
        <v>40</v>
      </c>
      <c r="H58" s="18" t="s">
        <v>40</v>
      </c>
      <c r="I58" s="18" t="s">
        <v>39</v>
      </c>
      <c r="J58" s="18" t="s">
        <v>39</v>
      </c>
      <c r="K58" s="5"/>
      <c r="L58" s="29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42"/>
    </row>
    <row r="59">
      <c r="A59" s="30">
        <v>6.0</v>
      </c>
      <c r="B59" s="39" t="s">
        <v>36</v>
      </c>
      <c r="C59" s="41" t="s">
        <v>31</v>
      </c>
      <c r="D59" s="32"/>
      <c r="E59" s="32"/>
      <c r="F59" s="32"/>
      <c r="G59" s="32"/>
      <c r="H59" s="32"/>
      <c r="I59" s="32"/>
      <c r="J59" s="32"/>
      <c r="K59" s="32"/>
      <c r="L59" s="3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42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42"/>
    </row>
    <row r="61">
      <c r="A61" s="34">
        <v>8.0</v>
      </c>
      <c r="B61" s="7"/>
      <c r="C61" s="8">
        <v>46102.0</v>
      </c>
      <c r="D61" s="9"/>
      <c r="E61" s="9"/>
      <c r="F61" s="10"/>
      <c r="G61" s="10"/>
      <c r="H61" s="10"/>
      <c r="I61" s="10"/>
      <c r="J61" s="10"/>
      <c r="K61" s="10"/>
      <c r="L61" s="1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42"/>
    </row>
    <row r="62">
      <c r="A62" s="12" t="s">
        <v>2</v>
      </c>
      <c r="B62" s="13" t="s">
        <v>3</v>
      </c>
      <c r="C62" s="14" t="s">
        <v>4</v>
      </c>
      <c r="D62" s="14" t="s">
        <v>5</v>
      </c>
      <c r="E62" s="14" t="s">
        <v>6</v>
      </c>
      <c r="F62" s="14" t="s">
        <v>7</v>
      </c>
      <c r="G62" s="14" t="s">
        <v>8</v>
      </c>
      <c r="H62" s="14" t="s">
        <v>9</v>
      </c>
      <c r="I62" s="14" t="s">
        <v>10</v>
      </c>
      <c r="J62" s="14" t="s">
        <v>11</v>
      </c>
      <c r="K62" s="14" t="s">
        <v>12</v>
      </c>
      <c r="L62" s="15" t="s">
        <v>13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42"/>
    </row>
    <row r="63">
      <c r="A63" s="16">
        <v>1.0</v>
      </c>
      <c r="B63" s="17" t="s">
        <v>28</v>
      </c>
      <c r="C63" s="18" t="s">
        <v>31</v>
      </c>
      <c r="D63" s="18" t="s">
        <v>30</v>
      </c>
      <c r="E63" s="18" t="s">
        <v>30</v>
      </c>
      <c r="F63" s="18" t="s">
        <v>29</v>
      </c>
      <c r="G63" s="18" t="s">
        <v>29</v>
      </c>
      <c r="H63" s="18" t="s">
        <v>29</v>
      </c>
      <c r="I63" s="18" t="s">
        <v>43</v>
      </c>
      <c r="J63" s="18" t="s">
        <v>37</v>
      </c>
      <c r="K63" s="35" t="s">
        <v>26</v>
      </c>
      <c r="L63" s="29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42"/>
    </row>
    <row r="64">
      <c r="A64" s="20">
        <v>2.0</v>
      </c>
      <c r="B64" s="21" t="s">
        <v>38</v>
      </c>
      <c r="C64" s="23" t="s">
        <v>24</v>
      </c>
      <c r="D64" s="23" t="s">
        <v>32</v>
      </c>
      <c r="E64" s="23" t="s">
        <v>27</v>
      </c>
      <c r="F64" s="23" t="s">
        <v>32</v>
      </c>
      <c r="G64" s="23" t="s">
        <v>32</v>
      </c>
      <c r="H64" s="23" t="s">
        <v>32</v>
      </c>
      <c r="I64" s="23" t="s">
        <v>32</v>
      </c>
      <c r="J64" s="23" t="s">
        <v>39</v>
      </c>
      <c r="K64" s="22"/>
      <c r="L64" s="2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42"/>
    </row>
    <row r="65">
      <c r="A65" s="16">
        <v>3.0</v>
      </c>
      <c r="B65" s="25" t="s">
        <v>15</v>
      </c>
      <c r="C65" s="18" t="s">
        <v>24</v>
      </c>
      <c r="D65" s="18" t="s">
        <v>32</v>
      </c>
      <c r="E65" s="18" t="s">
        <v>27</v>
      </c>
      <c r="F65" s="18" t="s">
        <v>32</v>
      </c>
      <c r="G65" s="18" t="s">
        <v>39</v>
      </c>
      <c r="H65" s="18" t="s">
        <v>40</v>
      </c>
      <c r="I65" s="18" t="s">
        <v>40</v>
      </c>
      <c r="J65" s="18" t="s">
        <v>39</v>
      </c>
      <c r="K65" s="5"/>
      <c r="L65" s="29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42"/>
    </row>
    <row r="66">
      <c r="A66" s="20">
        <v>4.0</v>
      </c>
      <c r="B66" s="26"/>
      <c r="C66" s="22"/>
      <c r="D66" s="23" t="s">
        <v>32</v>
      </c>
      <c r="E66" s="23" t="s">
        <v>32</v>
      </c>
      <c r="F66" s="23" t="s">
        <v>32</v>
      </c>
      <c r="G66" s="23" t="s">
        <v>39</v>
      </c>
      <c r="H66" s="23" t="s">
        <v>40</v>
      </c>
      <c r="I66" s="23" t="s">
        <v>40</v>
      </c>
      <c r="J66" s="23" t="s">
        <v>39</v>
      </c>
      <c r="K66" s="22"/>
      <c r="L66" s="2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42"/>
    </row>
    <row r="67">
      <c r="A67" s="16">
        <v>5.0</v>
      </c>
      <c r="B67" s="25" t="s">
        <v>34</v>
      </c>
      <c r="C67" s="18" t="s">
        <v>31</v>
      </c>
      <c r="D67" s="18" t="s">
        <v>41</v>
      </c>
      <c r="E67" s="18" t="s">
        <v>32</v>
      </c>
      <c r="F67" s="18" t="s">
        <v>40</v>
      </c>
      <c r="G67" s="18" t="s">
        <v>39</v>
      </c>
      <c r="H67" s="18" t="s">
        <v>40</v>
      </c>
      <c r="I67" s="18" t="s">
        <v>40</v>
      </c>
      <c r="J67" s="18" t="s">
        <v>39</v>
      </c>
      <c r="K67" s="5"/>
      <c r="L67" s="29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42"/>
    </row>
    <row r="68">
      <c r="A68" s="30">
        <v>6.0</v>
      </c>
      <c r="B68" s="39" t="s">
        <v>36</v>
      </c>
      <c r="C68" s="41" t="s">
        <v>24</v>
      </c>
      <c r="D68" s="32"/>
      <c r="E68" s="32"/>
      <c r="F68" s="32"/>
      <c r="G68" s="32"/>
      <c r="H68" s="32"/>
      <c r="I68" s="32"/>
      <c r="J68" s="32"/>
      <c r="K68" s="32"/>
      <c r="L68" s="3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42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42"/>
    </row>
    <row r="70">
      <c r="A70" s="34">
        <v>5.0</v>
      </c>
      <c r="B70" s="7"/>
      <c r="C70" s="8">
        <v>46103.0</v>
      </c>
      <c r="D70" s="9"/>
      <c r="E70" s="9"/>
      <c r="F70" s="10"/>
      <c r="G70" s="10"/>
      <c r="H70" s="10"/>
      <c r="I70" s="10"/>
      <c r="J70" s="10"/>
      <c r="K70" s="10"/>
      <c r="L70" s="1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42"/>
    </row>
    <row r="71">
      <c r="A71" s="12" t="s">
        <v>2</v>
      </c>
      <c r="B71" s="13" t="s">
        <v>3</v>
      </c>
      <c r="C71" s="14" t="s">
        <v>4</v>
      </c>
      <c r="D71" s="14" t="s">
        <v>5</v>
      </c>
      <c r="E71" s="14" t="s">
        <v>6</v>
      </c>
      <c r="F71" s="14" t="s">
        <v>7</v>
      </c>
      <c r="G71" s="14" t="s">
        <v>8</v>
      </c>
      <c r="H71" s="14" t="s">
        <v>9</v>
      </c>
      <c r="I71" s="14" t="s">
        <v>10</v>
      </c>
      <c r="J71" s="14" t="s">
        <v>11</v>
      </c>
      <c r="K71" s="14" t="s">
        <v>12</v>
      </c>
      <c r="L71" s="15" t="s">
        <v>13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42"/>
    </row>
    <row r="72">
      <c r="A72" s="16">
        <v>1.0</v>
      </c>
      <c r="B72" s="17" t="s">
        <v>28</v>
      </c>
      <c r="C72" s="18" t="s">
        <v>24</v>
      </c>
      <c r="D72" s="18" t="s">
        <v>29</v>
      </c>
      <c r="E72" s="18" t="s">
        <v>30</v>
      </c>
      <c r="F72" s="18" t="s">
        <v>30</v>
      </c>
      <c r="G72" s="18" t="s">
        <v>37</v>
      </c>
      <c r="H72" s="35" t="s">
        <v>26</v>
      </c>
      <c r="I72" s="5"/>
      <c r="J72" s="5"/>
      <c r="K72" s="5"/>
      <c r="L72" s="2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42"/>
    </row>
    <row r="73">
      <c r="A73" s="20">
        <v>2.0</v>
      </c>
      <c r="B73" s="21" t="s">
        <v>38</v>
      </c>
      <c r="C73" s="23" t="s">
        <v>31</v>
      </c>
      <c r="D73" s="23" t="s">
        <v>44</v>
      </c>
      <c r="E73" s="23" t="s">
        <v>32</v>
      </c>
      <c r="F73" s="23" t="s">
        <v>27</v>
      </c>
      <c r="G73" s="23" t="s">
        <v>39</v>
      </c>
      <c r="H73" s="22"/>
      <c r="I73" s="22"/>
      <c r="J73" s="22"/>
      <c r="K73" s="22"/>
      <c r="L73" s="2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42"/>
    </row>
    <row r="74">
      <c r="A74" s="16">
        <v>3.0</v>
      </c>
      <c r="B74" s="25" t="s">
        <v>15</v>
      </c>
      <c r="C74" s="18" t="s">
        <v>31</v>
      </c>
      <c r="D74" s="18" t="s">
        <v>27</v>
      </c>
      <c r="E74" s="18" t="s">
        <v>32</v>
      </c>
      <c r="F74" s="18" t="s">
        <v>40</v>
      </c>
      <c r="G74" s="18" t="s">
        <v>39</v>
      </c>
      <c r="H74" s="5"/>
      <c r="I74" s="5"/>
      <c r="J74" s="5"/>
      <c r="K74" s="5"/>
      <c r="L74" s="2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42"/>
    </row>
    <row r="75">
      <c r="A75" s="20">
        <v>4.0</v>
      </c>
      <c r="B75" s="26"/>
      <c r="C75" s="22"/>
      <c r="D75" s="23" t="s">
        <v>27</v>
      </c>
      <c r="E75" s="23" t="s">
        <v>32</v>
      </c>
      <c r="F75" s="23" t="s">
        <v>40</v>
      </c>
      <c r="G75" s="23" t="s">
        <v>39</v>
      </c>
      <c r="H75" s="22"/>
      <c r="I75" s="22"/>
      <c r="J75" s="22"/>
      <c r="K75" s="22"/>
      <c r="L75" s="2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42"/>
    </row>
    <row r="76">
      <c r="A76" s="16">
        <v>5.0</v>
      </c>
      <c r="B76" s="25" t="s">
        <v>34</v>
      </c>
      <c r="C76" s="18" t="s">
        <v>24</v>
      </c>
      <c r="D76" s="18" t="s">
        <v>42</v>
      </c>
      <c r="E76" s="18" t="s">
        <v>40</v>
      </c>
      <c r="F76" s="18" t="s">
        <v>40</v>
      </c>
      <c r="G76" s="5"/>
      <c r="H76" s="5"/>
      <c r="I76" s="5"/>
      <c r="J76" s="5"/>
      <c r="K76" s="5"/>
      <c r="L76" s="2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42"/>
    </row>
    <row r="77">
      <c r="A77" s="30">
        <v>6.0</v>
      </c>
      <c r="B77" s="39" t="s">
        <v>36</v>
      </c>
      <c r="C77" s="41" t="s">
        <v>31</v>
      </c>
      <c r="D77" s="32"/>
      <c r="E77" s="32"/>
      <c r="F77" s="32"/>
      <c r="G77" s="32"/>
      <c r="H77" s="32"/>
      <c r="I77" s="32"/>
      <c r="J77" s="32"/>
      <c r="K77" s="32"/>
      <c r="L77" s="3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42"/>
    </row>
    <row r="78">
      <c r="A78" s="5"/>
      <c r="B78" s="5"/>
      <c r="C78" s="43"/>
      <c r="D78" s="43"/>
      <c r="E78" s="43"/>
      <c r="F78" s="5"/>
      <c r="G78" s="5"/>
      <c r="H78" s="5"/>
      <c r="I78" s="5"/>
      <c r="J78" s="5"/>
      <c r="K78" s="5"/>
      <c r="L78" s="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42"/>
    </row>
    <row r="79">
      <c r="A79" s="34">
        <v>5.0</v>
      </c>
      <c r="B79" s="7"/>
      <c r="C79" s="8">
        <v>46104.0</v>
      </c>
      <c r="D79" s="9"/>
      <c r="E79" s="9"/>
      <c r="F79" s="10"/>
      <c r="G79" s="10"/>
      <c r="H79" s="10"/>
      <c r="I79" s="10"/>
      <c r="J79" s="10"/>
      <c r="K79" s="10"/>
      <c r="L79" s="1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42"/>
    </row>
    <row r="80">
      <c r="A80" s="12" t="s">
        <v>2</v>
      </c>
      <c r="B80" s="13" t="s">
        <v>3</v>
      </c>
      <c r="C80" s="14" t="s">
        <v>4</v>
      </c>
      <c r="D80" s="14" t="s">
        <v>5</v>
      </c>
      <c r="E80" s="14" t="s">
        <v>6</v>
      </c>
      <c r="F80" s="14" t="s">
        <v>7</v>
      </c>
      <c r="G80" s="14" t="s">
        <v>8</v>
      </c>
      <c r="H80" s="14" t="s">
        <v>9</v>
      </c>
      <c r="I80" s="14" t="s">
        <v>10</v>
      </c>
      <c r="J80" s="14" t="s">
        <v>11</v>
      </c>
      <c r="K80" s="14" t="s">
        <v>12</v>
      </c>
      <c r="L80" s="15" t="s">
        <v>13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42"/>
    </row>
    <row r="81">
      <c r="A81" s="16">
        <v>1.0</v>
      </c>
      <c r="B81" s="17" t="s">
        <v>28</v>
      </c>
      <c r="C81" s="18" t="s">
        <v>31</v>
      </c>
      <c r="D81" s="18" t="s">
        <v>30</v>
      </c>
      <c r="E81" s="18" t="s">
        <v>29</v>
      </c>
      <c r="F81" s="18" t="s">
        <v>29</v>
      </c>
      <c r="G81" s="18" t="s">
        <v>37</v>
      </c>
      <c r="H81" s="35" t="s">
        <v>26</v>
      </c>
      <c r="I81" s="5"/>
      <c r="J81" s="5"/>
      <c r="K81" s="5"/>
      <c r="L81" s="2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42"/>
    </row>
    <row r="82">
      <c r="A82" s="20">
        <v>2.0</v>
      </c>
      <c r="B82" s="21" t="s">
        <v>38</v>
      </c>
      <c r="C82" s="23" t="s">
        <v>24</v>
      </c>
      <c r="D82" s="23" t="s">
        <v>32</v>
      </c>
      <c r="E82" s="23" t="s">
        <v>27</v>
      </c>
      <c r="F82" s="23" t="s">
        <v>40</v>
      </c>
      <c r="G82" s="23" t="s">
        <v>39</v>
      </c>
      <c r="H82" s="22"/>
      <c r="I82" s="22"/>
      <c r="J82" s="22"/>
      <c r="K82" s="22"/>
      <c r="L82" s="2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42"/>
    </row>
    <row r="83">
      <c r="A83" s="16">
        <v>3.0</v>
      </c>
      <c r="B83" s="25" t="s">
        <v>15</v>
      </c>
      <c r="C83" s="18" t="s">
        <v>24</v>
      </c>
      <c r="D83" s="18" t="s">
        <v>32</v>
      </c>
      <c r="E83" s="18" t="s">
        <v>27</v>
      </c>
      <c r="F83" s="18" t="s">
        <v>40</v>
      </c>
      <c r="G83" s="18" t="s">
        <v>39</v>
      </c>
      <c r="H83" s="5"/>
      <c r="I83" s="5"/>
      <c r="J83" s="5"/>
      <c r="K83" s="5"/>
      <c r="L83" s="2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42"/>
    </row>
    <row r="84">
      <c r="A84" s="20">
        <v>4.0</v>
      </c>
      <c r="B84" s="26"/>
      <c r="C84" s="22"/>
      <c r="D84" s="23" t="s">
        <v>32</v>
      </c>
      <c r="E84" s="23" t="s">
        <v>27</v>
      </c>
      <c r="F84" s="23" t="s">
        <v>40</v>
      </c>
      <c r="G84" s="23" t="s">
        <v>39</v>
      </c>
      <c r="H84" s="22"/>
      <c r="I84" s="22"/>
      <c r="J84" s="22"/>
      <c r="K84" s="22"/>
      <c r="L84" s="2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42"/>
    </row>
    <row r="85">
      <c r="A85" s="16">
        <v>5.0</v>
      </c>
      <c r="B85" s="25" t="s">
        <v>34</v>
      </c>
      <c r="C85" s="18" t="s">
        <v>31</v>
      </c>
      <c r="D85" s="18" t="s">
        <v>41</v>
      </c>
      <c r="E85" s="18" t="s">
        <v>32</v>
      </c>
      <c r="F85" s="18" t="s">
        <v>40</v>
      </c>
      <c r="G85" s="5"/>
      <c r="H85" s="5"/>
      <c r="I85" s="5"/>
      <c r="J85" s="5"/>
      <c r="K85" s="5"/>
      <c r="L85" s="2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>
      <c r="A86" s="30">
        <v>6.0</v>
      </c>
      <c r="B86" s="39" t="s">
        <v>36</v>
      </c>
      <c r="C86" s="41" t="s">
        <v>24</v>
      </c>
      <c r="D86" s="32"/>
      <c r="E86" s="32"/>
      <c r="F86" s="32"/>
      <c r="G86" s="32"/>
      <c r="H86" s="32"/>
      <c r="I86" s="32"/>
      <c r="J86" s="32"/>
      <c r="K86" s="32"/>
      <c r="L86" s="3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>
      <c r="A88" s="34">
        <v>3.0</v>
      </c>
      <c r="B88" s="7"/>
      <c r="C88" s="8">
        <v>46105.0</v>
      </c>
      <c r="D88" s="9"/>
      <c r="E88" s="9"/>
      <c r="F88" s="10"/>
      <c r="G88" s="10"/>
      <c r="H88" s="10"/>
      <c r="I88" s="10"/>
      <c r="J88" s="10"/>
      <c r="K88" s="10"/>
      <c r="L88" s="1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>
      <c r="A89" s="12" t="s">
        <v>2</v>
      </c>
      <c r="B89" s="13" t="s">
        <v>3</v>
      </c>
      <c r="C89" s="14" t="s">
        <v>4</v>
      </c>
      <c r="D89" s="14" t="s">
        <v>5</v>
      </c>
      <c r="E89" s="14" t="s">
        <v>6</v>
      </c>
      <c r="F89" s="14" t="s">
        <v>7</v>
      </c>
      <c r="G89" s="14" t="s">
        <v>8</v>
      </c>
      <c r="H89" s="14" t="s">
        <v>9</v>
      </c>
      <c r="I89" s="14" t="s">
        <v>10</v>
      </c>
      <c r="J89" s="14" t="s">
        <v>11</v>
      </c>
      <c r="K89" s="14" t="s">
        <v>12</v>
      </c>
      <c r="L89" s="15" t="s">
        <v>13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42"/>
    </row>
    <row r="90">
      <c r="A90" s="16">
        <v>1.0</v>
      </c>
      <c r="B90" s="17" t="s">
        <v>28</v>
      </c>
      <c r="C90" s="18" t="s">
        <v>31</v>
      </c>
      <c r="D90" s="18" t="s">
        <v>29</v>
      </c>
      <c r="E90" s="18" t="s">
        <v>37</v>
      </c>
      <c r="F90" s="5"/>
      <c r="G90" s="5"/>
      <c r="H90" s="35" t="s">
        <v>26</v>
      </c>
      <c r="I90" s="5"/>
      <c r="J90" s="5"/>
      <c r="K90" s="5"/>
      <c r="L90" s="2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42"/>
    </row>
    <row r="91">
      <c r="A91" s="20">
        <v>2.0</v>
      </c>
      <c r="B91" s="21" t="s">
        <v>45</v>
      </c>
      <c r="C91" s="23" t="s">
        <v>24</v>
      </c>
      <c r="D91" s="23" t="s">
        <v>32</v>
      </c>
      <c r="E91" s="23" t="s">
        <v>39</v>
      </c>
      <c r="F91" s="22"/>
      <c r="G91" s="22"/>
      <c r="H91" s="44" t="s">
        <v>46</v>
      </c>
      <c r="I91" s="22"/>
      <c r="J91" s="22"/>
      <c r="K91" s="22"/>
      <c r="L91" s="2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42"/>
    </row>
    <row r="92">
      <c r="A92" s="16">
        <v>3.0</v>
      </c>
      <c r="B92" s="25" t="s">
        <v>15</v>
      </c>
      <c r="C92" s="18" t="s">
        <v>31</v>
      </c>
      <c r="D92" s="18" t="s">
        <v>32</v>
      </c>
      <c r="E92" s="18" t="s">
        <v>40</v>
      </c>
      <c r="F92" s="5"/>
      <c r="G92" s="5"/>
      <c r="H92" s="5"/>
      <c r="I92" s="5"/>
      <c r="J92" s="5"/>
      <c r="K92" s="5"/>
      <c r="L92" s="29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42"/>
    </row>
    <row r="93">
      <c r="A93" s="20">
        <v>4.0</v>
      </c>
      <c r="B93" s="26"/>
      <c r="C93" s="22"/>
      <c r="D93" s="23" t="s">
        <v>32</v>
      </c>
      <c r="E93" s="23" t="s">
        <v>40</v>
      </c>
      <c r="F93" s="22"/>
      <c r="G93" s="22"/>
      <c r="H93" s="22"/>
      <c r="I93" s="22"/>
      <c r="J93" s="22"/>
      <c r="K93" s="22"/>
      <c r="L93" s="2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42"/>
    </row>
    <row r="94">
      <c r="A94" s="16">
        <v>5.0</v>
      </c>
      <c r="B94" s="25" t="s">
        <v>34</v>
      </c>
      <c r="C94" s="18" t="s">
        <v>24</v>
      </c>
      <c r="D94" s="18" t="s">
        <v>42</v>
      </c>
      <c r="E94" s="5"/>
      <c r="F94" s="5"/>
      <c r="G94" s="5"/>
      <c r="H94" s="5"/>
      <c r="I94" s="5"/>
      <c r="J94" s="5"/>
      <c r="K94" s="5"/>
      <c r="L94" s="29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42"/>
    </row>
    <row r="95">
      <c r="A95" s="30">
        <v>6.0</v>
      </c>
      <c r="B95" s="39" t="s">
        <v>36</v>
      </c>
      <c r="C95" s="41" t="s">
        <v>31</v>
      </c>
      <c r="D95" s="32"/>
      <c r="E95" s="32"/>
      <c r="F95" s="32"/>
      <c r="G95" s="32"/>
      <c r="H95" s="32"/>
      <c r="I95" s="32"/>
      <c r="J95" s="32"/>
      <c r="K95" s="32"/>
      <c r="L95" s="3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>
      <c r="A97" s="34">
        <v>2.0</v>
      </c>
      <c r="B97" s="7"/>
      <c r="C97" s="8">
        <v>46106.0</v>
      </c>
      <c r="D97" s="9"/>
      <c r="E97" s="9"/>
      <c r="F97" s="10"/>
      <c r="G97" s="10"/>
      <c r="H97" s="10"/>
      <c r="I97" s="10"/>
      <c r="J97" s="10"/>
      <c r="K97" s="10"/>
      <c r="L97" s="1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>
      <c r="A98" s="12" t="s">
        <v>2</v>
      </c>
      <c r="B98" s="13" t="s">
        <v>3</v>
      </c>
      <c r="C98" s="14" t="s">
        <v>4</v>
      </c>
      <c r="D98" s="14" t="s">
        <v>5</v>
      </c>
      <c r="E98" s="14" t="s">
        <v>6</v>
      </c>
      <c r="F98" s="14" t="s">
        <v>7</v>
      </c>
      <c r="G98" s="14" t="s">
        <v>8</v>
      </c>
      <c r="H98" s="14" t="s">
        <v>9</v>
      </c>
      <c r="I98" s="14" t="s">
        <v>10</v>
      </c>
      <c r="J98" s="14" t="s">
        <v>11</v>
      </c>
      <c r="K98" s="14" t="s">
        <v>12</v>
      </c>
      <c r="L98" s="15" t="s">
        <v>13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>
      <c r="A99" s="16">
        <v>1.0</v>
      </c>
      <c r="B99" s="17" t="s">
        <v>47</v>
      </c>
      <c r="C99" s="18" t="s">
        <v>24</v>
      </c>
      <c r="D99" s="18" t="s">
        <v>48</v>
      </c>
      <c r="E99" s="45" t="s">
        <v>49</v>
      </c>
      <c r="F99" s="5"/>
      <c r="G99" s="5"/>
      <c r="H99" s="45" t="s">
        <v>49</v>
      </c>
      <c r="I99" s="5"/>
      <c r="J99" s="5"/>
      <c r="K99" s="5"/>
      <c r="L99" s="29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>
      <c r="A100" s="20">
        <v>2.0</v>
      </c>
      <c r="B100" s="21" t="s">
        <v>50</v>
      </c>
      <c r="C100" s="23" t="s">
        <v>31</v>
      </c>
      <c r="D100" s="23" t="s">
        <v>40</v>
      </c>
      <c r="E100" s="45" t="s">
        <v>51</v>
      </c>
      <c r="F100" s="22"/>
      <c r="G100" s="22"/>
      <c r="H100" s="45" t="s">
        <v>51</v>
      </c>
      <c r="I100" s="22"/>
      <c r="J100" s="22"/>
      <c r="K100" s="22"/>
      <c r="L100" s="2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>
      <c r="A101" s="16">
        <v>3.0</v>
      </c>
      <c r="B101" s="28"/>
      <c r="C101" s="5"/>
      <c r="D101" s="18" t="s">
        <v>39</v>
      </c>
      <c r="E101" s="45" t="s">
        <v>49</v>
      </c>
      <c r="F101" s="5"/>
      <c r="G101" s="5"/>
      <c r="H101" s="45" t="s">
        <v>49</v>
      </c>
      <c r="I101" s="5"/>
      <c r="J101" s="5"/>
      <c r="K101" s="5"/>
      <c r="L101" s="29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>
      <c r="A102" s="20">
        <v>4.0</v>
      </c>
      <c r="B102" s="21" t="s">
        <v>34</v>
      </c>
      <c r="C102" s="23" t="s">
        <v>24</v>
      </c>
      <c r="D102" s="23" t="s">
        <v>39</v>
      </c>
      <c r="E102" s="45" t="s">
        <v>51</v>
      </c>
      <c r="F102" s="22"/>
      <c r="G102" s="22"/>
      <c r="H102" s="45" t="s">
        <v>51</v>
      </c>
      <c r="I102" s="22"/>
      <c r="J102" s="22"/>
      <c r="K102" s="22"/>
      <c r="L102" s="2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>
      <c r="A103" s="16">
        <v>5.0</v>
      </c>
      <c r="B103" s="25" t="s">
        <v>52</v>
      </c>
      <c r="C103" s="18" t="s">
        <v>31</v>
      </c>
      <c r="D103" s="5"/>
      <c r="E103" s="5"/>
      <c r="F103" s="5"/>
      <c r="G103" s="5"/>
      <c r="H103" s="5"/>
      <c r="I103" s="5"/>
      <c r="J103" s="5"/>
      <c r="K103" s="5"/>
      <c r="L103" s="29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>
      <c r="A104" s="30">
        <v>6.0</v>
      </c>
      <c r="B104" s="31"/>
      <c r="C104" s="32"/>
      <c r="D104" s="32"/>
      <c r="E104" s="32"/>
      <c r="F104" s="32"/>
      <c r="G104" s="32"/>
      <c r="H104" s="46" t="s">
        <v>53</v>
      </c>
      <c r="I104" s="32"/>
      <c r="J104" s="32"/>
      <c r="K104" s="32"/>
      <c r="L104" s="3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>
      <c r="A105" s="5"/>
      <c r="B105" s="5"/>
      <c r="C105" s="43"/>
      <c r="D105" s="43"/>
      <c r="E105" s="43"/>
      <c r="F105" s="5"/>
      <c r="G105" s="5"/>
      <c r="H105" s="5"/>
      <c r="I105" s="5"/>
      <c r="J105" s="5"/>
      <c r="K105" s="5"/>
      <c r="L105" s="5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>
      <c r="A106" s="34">
        <v>2.0</v>
      </c>
      <c r="B106" s="7"/>
      <c r="C106" s="8">
        <v>46107.0</v>
      </c>
      <c r="D106" s="9"/>
      <c r="E106" s="9"/>
      <c r="F106" s="10"/>
      <c r="G106" s="10"/>
      <c r="H106" s="10"/>
      <c r="I106" s="10"/>
      <c r="J106" s="10"/>
      <c r="K106" s="10"/>
      <c r="L106" s="1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>
      <c r="A107" s="12" t="s">
        <v>2</v>
      </c>
      <c r="B107" s="13" t="s">
        <v>3</v>
      </c>
      <c r="C107" s="14" t="s">
        <v>4</v>
      </c>
      <c r="D107" s="14" t="s">
        <v>5</v>
      </c>
      <c r="E107" s="14" t="s">
        <v>6</v>
      </c>
      <c r="F107" s="14" t="s">
        <v>7</v>
      </c>
      <c r="G107" s="14" t="s">
        <v>8</v>
      </c>
      <c r="H107" s="14" t="s">
        <v>9</v>
      </c>
      <c r="I107" s="14" t="s">
        <v>10</v>
      </c>
      <c r="J107" s="14" t="s">
        <v>11</v>
      </c>
      <c r="K107" s="14" t="s">
        <v>12</v>
      </c>
      <c r="L107" s="15" t="s">
        <v>13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>
      <c r="A108" s="16">
        <v>1.0</v>
      </c>
      <c r="B108" s="17" t="s">
        <v>47</v>
      </c>
      <c r="C108" s="18" t="s">
        <v>31</v>
      </c>
      <c r="D108" s="18" t="s">
        <v>54</v>
      </c>
      <c r="E108" s="47" t="s">
        <v>55</v>
      </c>
      <c r="F108" s="5"/>
      <c r="G108" s="5"/>
      <c r="H108" s="5"/>
      <c r="I108" s="5"/>
      <c r="J108" s="5"/>
      <c r="K108" s="5"/>
      <c r="L108" s="29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>
      <c r="A109" s="20">
        <v>2.0</v>
      </c>
      <c r="B109" s="21" t="s">
        <v>50</v>
      </c>
      <c r="C109" s="23" t="s">
        <v>24</v>
      </c>
      <c r="D109" s="23" t="s">
        <v>40</v>
      </c>
      <c r="E109" s="47" t="s">
        <v>55</v>
      </c>
      <c r="F109" s="22"/>
      <c r="G109" s="22"/>
      <c r="H109" s="22"/>
      <c r="I109" s="22"/>
      <c r="J109" s="22"/>
      <c r="K109" s="22"/>
      <c r="L109" s="2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>
      <c r="A110" s="16">
        <v>3.0</v>
      </c>
      <c r="B110" s="28"/>
      <c r="C110" s="5"/>
      <c r="D110" s="47" t="s">
        <v>56</v>
      </c>
      <c r="E110" s="47" t="s">
        <v>56</v>
      </c>
      <c r="F110" s="5"/>
      <c r="G110" s="5"/>
      <c r="H110" s="5"/>
      <c r="I110" s="5"/>
      <c r="J110" s="5"/>
      <c r="K110" s="5"/>
      <c r="L110" s="2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>
      <c r="A111" s="20">
        <v>4.0</v>
      </c>
      <c r="B111" s="21" t="s">
        <v>34</v>
      </c>
      <c r="C111" s="23" t="s">
        <v>31</v>
      </c>
      <c r="D111" s="47" t="s">
        <v>57</v>
      </c>
      <c r="E111" s="47" t="s">
        <v>57</v>
      </c>
      <c r="F111" s="22"/>
      <c r="G111" s="22"/>
      <c r="H111" s="22"/>
      <c r="I111" s="22"/>
      <c r="J111" s="22"/>
      <c r="K111" s="22"/>
      <c r="L111" s="2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42"/>
    </row>
    <row r="112">
      <c r="A112" s="16">
        <v>5.0</v>
      </c>
      <c r="B112" s="25" t="s">
        <v>52</v>
      </c>
      <c r="C112" s="18" t="s">
        <v>24</v>
      </c>
      <c r="D112" s="47" t="s">
        <v>58</v>
      </c>
      <c r="E112" s="47" t="s">
        <v>58</v>
      </c>
      <c r="F112" s="5"/>
      <c r="G112" s="5"/>
      <c r="H112" s="5"/>
      <c r="I112" s="5"/>
      <c r="J112" s="5"/>
      <c r="K112" s="5"/>
      <c r="L112" s="2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42"/>
    </row>
    <row r="113">
      <c r="A113" s="30">
        <v>6.0</v>
      </c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42"/>
    </row>
    <row r="114">
      <c r="A114" s="5"/>
      <c r="B114" s="5"/>
      <c r="C114" s="43"/>
      <c r="D114" s="43"/>
      <c r="E114" s="43"/>
      <c r="F114" s="5"/>
      <c r="G114" s="5"/>
      <c r="H114" s="5"/>
      <c r="I114" s="5"/>
      <c r="J114" s="5"/>
      <c r="K114" s="5"/>
      <c r="L114" s="5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42"/>
    </row>
    <row r="115">
      <c r="A115" s="34">
        <v>1.0</v>
      </c>
      <c r="B115" s="7"/>
      <c r="C115" s="8">
        <v>46108.0</v>
      </c>
      <c r="D115" s="9"/>
      <c r="E115" s="9"/>
      <c r="F115" s="10"/>
      <c r="G115" s="10"/>
      <c r="H115" s="10"/>
      <c r="I115" s="10"/>
      <c r="J115" s="10"/>
      <c r="K115" s="10"/>
      <c r="L115" s="1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42"/>
    </row>
    <row r="116">
      <c r="A116" s="12" t="s">
        <v>2</v>
      </c>
      <c r="B116" s="13" t="s">
        <v>3</v>
      </c>
      <c r="C116" s="14" t="s">
        <v>4</v>
      </c>
      <c r="D116" s="14" t="s">
        <v>5</v>
      </c>
      <c r="E116" s="14" t="s">
        <v>6</v>
      </c>
      <c r="F116" s="14" t="s">
        <v>7</v>
      </c>
      <c r="G116" s="14" t="s">
        <v>8</v>
      </c>
      <c r="H116" s="14" t="s">
        <v>9</v>
      </c>
      <c r="I116" s="14" t="s">
        <v>10</v>
      </c>
      <c r="J116" s="14" t="s">
        <v>11</v>
      </c>
      <c r="K116" s="14" t="s">
        <v>12</v>
      </c>
      <c r="L116" s="15" t="s">
        <v>13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42"/>
    </row>
    <row r="117">
      <c r="A117" s="16">
        <v>1.0</v>
      </c>
      <c r="B117" s="17" t="s">
        <v>47</v>
      </c>
      <c r="C117" s="18" t="s">
        <v>59</v>
      </c>
      <c r="D117" s="47" t="s">
        <v>60</v>
      </c>
      <c r="E117" s="5"/>
      <c r="F117" s="5"/>
      <c r="G117" s="5"/>
      <c r="H117" s="5"/>
      <c r="I117" s="5"/>
      <c r="J117" s="5"/>
      <c r="K117" s="5"/>
      <c r="L117" s="2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42"/>
    </row>
    <row r="118">
      <c r="A118" s="20">
        <v>2.0</v>
      </c>
      <c r="B118" s="21" t="s">
        <v>61</v>
      </c>
      <c r="C118" s="23" t="s">
        <v>31</v>
      </c>
      <c r="D118" s="47" t="s">
        <v>62</v>
      </c>
      <c r="E118" s="22"/>
      <c r="F118" s="22"/>
      <c r="G118" s="22"/>
      <c r="H118" s="22"/>
      <c r="I118" s="22"/>
      <c r="J118" s="22"/>
      <c r="K118" s="22"/>
      <c r="L118" s="2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42"/>
    </row>
    <row r="119">
      <c r="A119" s="16">
        <v>3.0</v>
      </c>
      <c r="B119" s="28"/>
      <c r="C119" s="5"/>
      <c r="D119" s="47" t="s">
        <v>63</v>
      </c>
      <c r="E119" s="5"/>
      <c r="F119" s="5"/>
      <c r="G119" s="5"/>
      <c r="H119" s="5"/>
      <c r="I119" s="5"/>
      <c r="J119" s="5"/>
      <c r="K119" s="5"/>
      <c r="L119" s="29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42"/>
    </row>
    <row r="120">
      <c r="A120" s="20">
        <v>4.0</v>
      </c>
      <c r="B120" s="21" t="s">
        <v>34</v>
      </c>
      <c r="C120" s="23" t="s">
        <v>31</v>
      </c>
      <c r="D120" s="47" t="s">
        <v>64</v>
      </c>
      <c r="E120" s="22"/>
      <c r="F120" s="22"/>
      <c r="G120" s="22"/>
      <c r="H120" s="22"/>
      <c r="I120" s="22"/>
      <c r="J120" s="22"/>
      <c r="K120" s="22"/>
      <c r="L120" s="2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42"/>
    </row>
    <row r="121">
      <c r="A121" s="16">
        <v>5.0</v>
      </c>
      <c r="B121" s="25" t="s">
        <v>15</v>
      </c>
      <c r="C121" s="18" t="s">
        <v>59</v>
      </c>
      <c r="D121" s="5"/>
      <c r="E121" s="5"/>
      <c r="F121" s="5"/>
      <c r="G121" s="5"/>
      <c r="H121" s="5"/>
      <c r="I121" s="5"/>
      <c r="J121" s="5"/>
      <c r="K121" s="5"/>
      <c r="L121" s="29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42"/>
    </row>
    <row r="122">
      <c r="A122" s="30">
        <v>6.0</v>
      </c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42"/>
    </row>
    <row r="123">
      <c r="A123" s="5"/>
      <c r="B123" s="5"/>
      <c r="C123" s="43"/>
      <c r="D123" s="43"/>
      <c r="E123" s="43"/>
      <c r="F123" s="5"/>
      <c r="G123" s="5"/>
      <c r="H123" s="5"/>
      <c r="I123" s="5"/>
      <c r="J123" s="5"/>
      <c r="K123" s="5"/>
      <c r="L123" s="5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42"/>
    </row>
    <row r="124">
      <c r="A124" s="34">
        <v>1.0</v>
      </c>
      <c r="B124" s="7"/>
      <c r="C124" s="8">
        <v>46109.0</v>
      </c>
      <c r="D124" s="9"/>
      <c r="E124" s="9"/>
      <c r="F124" s="10"/>
      <c r="G124" s="10"/>
      <c r="H124" s="10"/>
      <c r="I124" s="10"/>
      <c r="J124" s="10"/>
      <c r="K124" s="10"/>
      <c r="L124" s="1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42"/>
    </row>
    <row r="125">
      <c r="A125" s="12" t="s">
        <v>2</v>
      </c>
      <c r="B125" s="13" t="s">
        <v>3</v>
      </c>
      <c r="C125" s="14" t="s">
        <v>4</v>
      </c>
      <c r="D125" s="14" t="s">
        <v>5</v>
      </c>
      <c r="E125" s="14" t="s">
        <v>6</v>
      </c>
      <c r="F125" s="14" t="s">
        <v>7</v>
      </c>
      <c r="G125" s="14" t="s">
        <v>8</v>
      </c>
      <c r="H125" s="14" t="s">
        <v>9</v>
      </c>
      <c r="I125" s="14" t="s">
        <v>10</v>
      </c>
      <c r="J125" s="14" t="s">
        <v>11</v>
      </c>
      <c r="K125" s="14" t="s">
        <v>12</v>
      </c>
      <c r="L125" s="15" t="s">
        <v>13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>
      <c r="A126" s="16">
        <v>1.0</v>
      </c>
      <c r="B126" s="17">
        <v>0.5208333333333334</v>
      </c>
      <c r="C126" s="18" t="s">
        <v>54</v>
      </c>
      <c r="D126" s="5"/>
      <c r="E126" s="5"/>
      <c r="F126" s="5"/>
      <c r="G126" s="5"/>
      <c r="H126" s="5"/>
      <c r="I126" s="5"/>
      <c r="J126" s="5"/>
      <c r="K126" s="5"/>
      <c r="L126" s="29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>
      <c r="A127" s="20">
        <v>2.0</v>
      </c>
      <c r="B127" s="21" t="s">
        <v>61</v>
      </c>
      <c r="C127" s="23" t="s">
        <v>24</v>
      </c>
      <c r="D127" s="22"/>
      <c r="E127" s="22"/>
      <c r="F127" s="22"/>
      <c r="G127" s="22"/>
      <c r="H127" s="22"/>
      <c r="I127" s="22"/>
      <c r="J127" s="22"/>
      <c r="K127" s="22"/>
      <c r="L127" s="2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>
      <c r="A128" s="16">
        <v>3.0</v>
      </c>
      <c r="B128" s="28"/>
      <c r="C128" s="5"/>
      <c r="D128" s="5"/>
      <c r="E128" s="5"/>
      <c r="F128" s="5"/>
      <c r="G128" s="5"/>
      <c r="H128" s="5"/>
      <c r="I128" s="5"/>
      <c r="J128" s="5"/>
      <c r="K128" s="5"/>
      <c r="L128" s="29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>
      <c r="A129" s="30">
        <v>4.0</v>
      </c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>
      <c r="A131" s="34">
        <v>1.0</v>
      </c>
      <c r="B131" s="7"/>
      <c r="C131" s="8">
        <v>46110.0</v>
      </c>
      <c r="D131" s="9"/>
      <c r="E131" s="9"/>
      <c r="F131" s="10"/>
      <c r="G131" s="10"/>
      <c r="H131" s="10"/>
      <c r="I131" s="10"/>
      <c r="J131" s="10"/>
      <c r="K131" s="10"/>
      <c r="L131" s="1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>
      <c r="A132" s="12" t="s">
        <v>2</v>
      </c>
      <c r="B132" s="13" t="s">
        <v>3</v>
      </c>
      <c r="C132" s="14" t="s">
        <v>4</v>
      </c>
      <c r="D132" s="14" t="s">
        <v>5</v>
      </c>
      <c r="E132" s="14" t="s">
        <v>6</v>
      </c>
      <c r="F132" s="14" t="s">
        <v>7</v>
      </c>
      <c r="G132" s="14" t="s">
        <v>8</v>
      </c>
      <c r="H132" s="14" t="s">
        <v>9</v>
      </c>
      <c r="I132" s="14" t="s">
        <v>10</v>
      </c>
      <c r="J132" s="14" t="s">
        <v>11</v>
      </c>
      <c r="K132" s="14" t="s">
        <v>12</v>
      </c>
      <c r="L132" s="15" t="s">
        <v>13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>
      <c r="A133" s="16">
        <v>1.0</v>
      </c>
      <c r="B133" s="17">
        <v>0.5208333333333334</v>
      </c>
      <c r="C133" s="18" t="s">
        <v>59</v>
      </c>
      <c r="D133" s="5"/>
      <c r="E133" s="5"/>
      <c r="F133" s="5"/>
      <c r="G133" s="5"/>
      <c r="H133" s="5"/>
      <c r="I133" s="5"/>
      <c r="J133" s="5"/>
      <c r="K133" s="5"/>
      <c r="L133" s="29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>
      <c r="A134" s="20">
        <v>2.0</v>
      </c>
      <c r="B134" s="21" t="s">
        <v>61</v>
      </c>
      <c r="C134" s="23" t="s">
        <v>31</v>
      </c>
      <c r="D134" s="22"/>
      <c r="E134" s="22"/>
      <c r="F134" s="22"/>
      <c r="G134" s="22"/>
      <c r="H134" s="22"/>
      <c r="I134" s="22"/>
      <c r="J134" s="22"/>
      <c r="K134" s="22"/>
      <c r="L134" s="2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>
      <c r="A135" s="16">
        <v>3.0</v>
      </c>
      <c r="B135" s="28"/>
      <c r="C135" s="5"/>
      <c r="D135" s="5"/>
      <c r="E135" s="5"/>
      <c r="F135" s="5"/>
      <c r="G135" s="5"/>
      <c r="H135" s="5"/>
      <c r="I135" s="5"/>
      <c r="J135" s="5"/>
      <c r="K135" s="5"/>
      <c r="L135" s="29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>
      <c r="A136" s="30">
        <v>4.0</v>
      </c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4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4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4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4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4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4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</row>
  </sheetData>
  <mergeCells count="17">
    <mergeCell ref="A2:L2"/>
    <mergeCell ref="A3:L3"/>
    <mergeCell ref="C6:E6"/>
    <mergeCell ref="C15:E15"/>
    <mergeCell ref="C24:E24"/>
    <mergeCell ref="C33:E33"/>
    <mergeCell ref="C42:E42"/>
    <mergeCell ref="C115:E115"/>
    <mergeCell ref="C124:E124"/>
    <mergeCell ref="C131:E131"/>
    <mergeCell ref="C52:E52"/>
    <mergeCell ref="C61:E61"/>
    <mergeCell ref="C70:E70"/>
    <mergeCell ref="C79:E79"/>
    <mergeCell ref="C88:E88"/>
    <mergeCell ref="C97:E97"/>
    <mergeCell ref="C106:E10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75"/>
    <col customWidth="1" min="2" max="2" width="29.88"/>
    <col customWidth="1" min="3" max="3" width="14.75"/>
    <col customWidth="1" min="4" max="4" width="16.25"/>
    <col customWidth="1" min="5" max="5" width="108.38"/>
    <col customWidth="1" min="7" max="7" width="51.13"/>
    <col customWidth="1" min="8" max="8" width="53.5"/>
    <col customWidth="1" min="9" max="9" width="39.88"/>
    <col customWidth="1" min="12" max="12" width="65.63"/>
    <col customWidth="1" min="13" max="13" width="75.75"/>
  </cols>
  <sheetData>
    <row r="1">
      <c r="A1" s="48" t="s">
        <v>65</v>
      </c>
      <c r="B1" s="49"/>
      <c r="C1" s="49"/>
      <c r="D1" s="49"/>
      <c r="E1" s="49"/>
      <c r="I1" s="50"/>
      <c r="J1" s="50"/>
      <c r="K1" s="50"/>
      <c r="L1" s="50"/>
    </row>
    <row r="2">
      <c r="A2" s="51" t="s">
        <v>66</v>
      </c>
      <c r="B2" s="51" t="s">
        <v>67</v>
      </c>
      <c r="C2" s="51" t="s">
        <v>68</v>
      </c>
      <c r="D2" s="51" t="s">
        <v>69</v>
      </c>
      <c r="E2" s="51" t="s">
        <v>70</v>
      </c>
      <c r="I2" s="50"/>
      <c r="J2" s="50"/>
      <c r="K2" s="50"/>
      <c r="L2" s="50"/>
      <c r="M2" s="50"/>
    </row>
    <row r="3">
      <c r="A3" s="52" t="s">
        <v>71</v>
      </c>
      <c r="B3" s="53" t="s">
        <v>72</v>
      </c>
      <c r="C3" s="54" t="s">
        <v>73</v>
      </c>
      <c r="D3" s="55" t="s">
        <v>74</v>
      </c>
      <c r="E3" s="54"/>
      <c r="I3" s="50"/>
      <c r="J3" s="50"/>
      <c r="K3" s="50"/>
      <c r="L3" s="50"/>
      <c r="M3" s="50"/>
    </row>
    <row r="4">
      <c r="A4" s="52" t="s">
        <v>75</v>
      </c>
      <c r="B4" s="53" t="s">
        <v>72</v>
      </c>
      <c r="C4" s="54" t="s">
        <v>73</v>
      </c>
      <c r="D4" s="55" t="s">
        <v>74</v>
      </c>
      <c r="E4" s="54"/>
      <c r="I4" s="50"/>
      <c r="J4" s="50"/>
      <c r="K4" s="50"/>
      <c r="L4" s="50"/>
      <c r="M4" s="50"/>
    </row>
    <row r="5">
      <c r="A5" s="56" t="s">
        <v>76</v>
      </c>
      <c r="B5" s="53" t="s">
        <v>72</v>
      </c>
      <c r="C5" s="54" t="s">
        <v>77</v>
      </c>
      <c r="D5" s="55" t="s">
        <v>74</v>
      </c>
      <c r="E5" s="54"/>
      <c r="I5" s="50"/>
      <c r="J5" s="50"/>
      <c r="K5" s="50"/>
      <c r="L5" s="50"/>
      <c r="M5" s="50"/>
    </row>
    <row r="6">
      <c r="A6" s="57" t="s">
        <v>78</v>
      </c>
      <c r="B6" s="53" t="s">
        <v>72</v>
      </c>
      <c r="C6" s="54" t="s">
        <v>73</v>
      </c>
      <c r="D6" s="55" t="s">
        <v>74</v>
      </c>
      <c r="E6" s="54"/>
      <c r="I6" s="50"/>
      <c r="J6" s="50"/>
      <c r="K6" s="50"/>
      <c r="L6" s="50"/>
      <c r="M6" s="50"/>
    </row>
    <row r="7">
      <c r="A7" s="53" t="s">
        <v>79</v>
      </c>
      <c r="B7" s="53" t="s">
        <v>72</v>
      </c>
      <c r="C7" s="54" t="s">
        <v>73</v>
      </c>
      <c r="D7" s="55" t="s">
        <v>74</v>
      </c>
      <c r="E7" s="58"/>
      <c r="I7" s="50"/>
      <c r="J7" s="50"/>
      <c r="K7" s="50"/>
      <c r="L7" s="50"/>
      <c r="M7" s="50"/>
    </row>
    <row r="8">
      <c r="A8" s="53" t="s">
        <v>80</v>
      </c>
      <c r="B8" s="53" t="s">
        <v>72</v>
      </c>
      <c r="C8" s="54" t="s">
        <v>81</v>
      </c>
      <c r="D8" s="55" t="s">
        <v>74</v>
      </c>
      <c r="E8" s="54"/>
      <c r="I8" s="50"/>
      <c r="J8" s="50"/>
      <c r="K8" s="50"/>
      <c r="L8" s="50"/>
      <c r="M8" s="50"/>
    </row>
    <row r="9">
      <c r="A9" s="53" t="s">
        <v>82</v>
      </c>
      <c r="B9" s="53" t="s">
        <v>72</v>
      </c>
      <c r="C9" s="54" t="s">
        <v>73</v>
      </c>
      <c r="D9" s="55" t="s">
        <v>74</v>
      </c>
      <c r="E9" s="54"/>
      <c r="I9" s="50"/>
      <c r="J9" s="50"/>
      <c r="K9" s="50"/>
      <c r="L9" s="50"/>
      <c r="M9" s="50"/>
    </row>
    <row r="10">
      <c r="A10" s="53" t="s">
        <v>83</v>
      </c>
      <c r="B10" s="53" t="s">
        <v>72</v>
      </c>
      <c r="C10" s="54" t="s">
        <v>81</v>
      </c>
      <c r="D10" s="55" t="s">
        <v>74</v>
      </c>
      <c r="E10" s="54"/>
      <c r="I10" s="50"/>
      <c r="J10" s="50"/>
      <c r="K10" s="50"/>
      <c r="L10" s="50"/>
      <c r="M10" s="50"/>
    </row>
    <row r="11">
      <c r="A11" s="53" t="s">
        <v>84</v>
      </c>
      <c r="B11" s="53" t="s">
        <v>72</v>
      </c>
      <c r="C11" s="54" t="s">
        <v>81</v>
      </c>
      <c r="D11" s="55" t="s">
        <v>74</v>
      </c>
      <c r="E11" s="54"/>
      <c r="I11" s="50"/>
      <c r="J11" s="50"/>
      <c r="K11" s="50"/>
      <c r="L11" s="50"/>
      <c r="M11" s="50"/>
    </row>
    <row r="12">
      <c r="A12" s="53"/>
      <c r="B12" s="53"/>
      <c r="C12" s="54" t="s">
        <v>73</v>
      </c>
      <c r="D12" s="55" t="s">
        <v>74</v>
      </c>
      <c r="E12" s="58"/>
    </row>
    <row r="13">
      <c r="A13" s="48" t="s">
        <v>85</v>
      </c>
      <c r="B13" s="49"/>
      <c r="C13" s="49"/>
      <c r="D13" s="49"/>
      <c r="E13" s="49"/>
    </row>
    <row r="14">
      <c r="A14" s="51" t="s">
        <v>66</v>
      </c>
      <c r="B14" s="51" t="s">
        <v>67</v>
      </c>
      <c r="C14" s="51" t="s">
        <v>68</v>
      </c>
      <c r="D14" s="51" t="s">
        <v>69</v>
      </c>
      <c r="E14" s="51" t="s">
        <v>70</v>
      </c>
    </row>
    <row r="15">
      <c r="A15" s="53" t="s">
        <v>86</v>
      </c>
      <c r="B15" s="53" t="s">
        <v>72</v>
      </c>
      <c r="C15" s="54" t="s">
        <v>73</v>
      </c>
      <c r="D15" s="55" t="s">
        <v>74</v>
      </c>
      <c r="E15" s="54"/>
    </row>
    <row r="16">
      <c r="A16" s="53" t="s">
        <v>87</v>
      </c>
      <c r="B16" s="53" t="s">
        <v>72</v>
      </c>
      <c r="C16" s="54" t="s">
        <v>73</v>
      </c>
      <c r="D16" s="55" t="s">
        <v>74</v>
      </c>
      <c r="E16" s="54"/>
    </row>
    <row r="17">
      <c r="A17" s="53" t="s">
        <v>88</v>
      </c>
      <c r="B17" s="53" t="s">
        <v>72</v>
      </c>
      <c r="C17" s="54" t="s">
        <v>73</v>
      </c>
      <c r="D17" s="55" t="s">
        <v>74</v>
      </c>
      <c r="E17" s="54"/>
    </row>
    <row r="18">
      <c r="A18" s="53" t="s">
        <v>89</v>
      </c>
      <c r="B18" s="53" t="s">
        <v>72</v>
      </c>
      <c r="C18" s="54" t="s">
        <v>73</v>
      </c>
      <c r="D18" s="55" t="s">
        <v>74</v>
      </c>
      <c r="E18" s="54"/>
    </row>
    <row r="19">
      <c r="A19" s="53" t="s">
        <v>90</v>
      </c>
      <c r="B19" s="53" t="s">
        <v>72</v>
      </c>
      <c r="C19" s="54" t="s">
        <v>73</v>
      </c>
      <c r="D19" s="55" t="s">
        <v>74</v>
      </c>
      <c r="E19" s="58"/>
    </row>
    <row r="20">
      <c r="A20" s="53" t="s">
        <v>91</v>
      </c>
      <c r="B20" s="53" t="s">
        <v>72</v>
      </c>
      <c r="C20" s="54" t="s">
        <v>73</v>
      </c>
      <c r="D20" s="55" t="s">
        <v>74</v>
      </c>
      <c r="E20" s="54"/>
    </row>
    <row r="21">
      <c r="A21" s="53" t="s">
        <v>92</v>
      </c>
      <c r="B21" s="53" t="s">
        <v>72</v>
      </c>
      <c r="C21" s="54" t="s">
        <v>73</v>
      </c>
      <c r="D21" s="55" t="s">
        <v>74</v>
      </c>
      <c r="E21" s="54"/>
      <c r="G21" s="50"/>
    </row>
    <row r="22">
      <c r="A22" s="53" t="s">
        <v>93</v>
      </c>
      <c r="B22" s="53" t="s">
        <v>72</v>
      </c>
      <c r="C22" s="54" t="s">
        <v>73</v>
      </c>
      <c r="D22" s="55" t="s">
        <v>74</v>
      </c>
      <c r="E22" s="54"/>
      <c r="G22" s="50"/>
    </row>
    <row r="23">
      <c r="A23" s="53" t="s">
        <v>94</v>
      </c>
      <c r="B23" s="53" t="s">
        <v>72</v>
      </c>
      <c r="C23" s="54" t="s">
        <v>73</v>
      </c>
      <c r="D23" s="55" t="s">
        <v>74</v>
      </c>
      <c r="E23" s="54"/>
      <c r="G23" s="50"/>
    </row>
    <row r="24">
      <c r="A24" s="53" t="s">
        <v>95</v>
      </c>
      <c r="B24" s="53" t="s">
        <v>72</v>
      </c>
      <c r="C24" s="54" t="s">
        <v>73</v>
      </c>
      <c r="D24" s="55" t="s">
        <v>74</v>
      </c>
      <c r="E24" s="54"/>
      <c r="G24" s="50"/>
    </row>
    <row r="25">
      <c r="A25" s="53" t="s">
        <v>96</v>
      </c>
      <c r="B25" s="53" t="s">
        <v>72</v>
      </c>
      <c r="C25" s="54" t="s">
        <v>73</v>
      </c>
      <c r="D25" s="55" t="s">
        <v>74</v>
      </c>
      <c r="E25" s="58"/>
      <c r="G25" s="50"/>
    </row>
    <row r="26">
      <c r="A26" s="48" t="s">
        <v>97</v>
      </c>
      <c r="B26" s="49"/>
      <c r="C26" s="49"/>
      <c r="D26" s="49"/>
      <c r="E26" s="49"/>
      <c r="G26" s="59"/>
    </row>
    <row r="27">
      <c r="A27" s="51" t="s">
        <v>66</v>
      </c>
      <c r="B27" s="51" t="s">
        <v>67</v>
      </c>
      <c r="C27" s="49"/>
      <c r="D27" s="51" t="s">
        <v>69</v>
      </c>
      <c r="E27" s="51" t="s">
        <v>70</v>
      </c>
      <c r="G27" s="59"/>
    </row>
    <row r="28">
      <c r="A28" s="53" t="s">
        <v>98</v>
      </c>
      <c r="B28" s="53" t="s">
        <v>72</v>
      </c>
      <c r="C28" s="54" t="s">
        <v>73</v>
      </c>
      <c r="D28" s="55" t="s">
        <v>74</v>
      </c>
      <c r="E28" s="54"/>
      <c r="G28" s="60"/>
    </row>
    <row r="29">
      <c r="A29" s="53" t="s">
        <v>99</v>
      </c>
      <c r="B29" s="53" t="s">
        <v>72</v>
      </c>
      <c r="C29" s="54" t="s">
        <v>73</v>
      </c>
      <c r="D29" s="55" t="s">
        <v>74</v>
      </c>
      <c r="E29" s="54"/>
      <c r="G29" s="60"/>
    </row>
    <row r="30">
      <c r="A30" s="53" t="s">
        <v>100</v>
      </c>
      <c r="B30" s="53" t="s">
        <v>72</v>
      </c>
      <c r="C30" s="54" t="s">
        <v>73</v>
      </c>
      <c r="D30" s="55" t="s">
        <v>74</v>
      </c>
      <c r="E30" s="54"/>
      <c r="G30" s="59"/>
    </row>
    <row r="31">
      <c r="A31" s="53" t="s">
        <v>101</v>
      </c>
      <c r="B31" s="53" t="s">
        <v>72</v>
      </c>
      <c r="C31" s="54" t="s">
        <v>73</v>
      </c>
      <c r="D31" s="55" t="s">
        <v>74</v>
      </c>
      <c r="E31" s="54"/>
      <c r="G31" s="59"/>
    </row>
    <row r="32">
      <c r="A32" s="53" t="s">
        <v>102</v>
      </c>
      <c r="B32" s="53" t="s">
        <v>72</v>
      </c>
      <c r="C32" s="54" t="s">
        <v>73</v>
      </c>
      <c r="D32" s="55" t="s">
        <v>74</v>
      </c>
      <c r="E32" s="58"/>
      <c r="G32" s="59"/>
    </row>
    <row r="33">
      <c r="A33" s="53" t="s">
        <v>103</v>
      </c>
      <c r="B33" s="53" t="s">
        <v>72</v>
      </c>
      <c r="C33" s="54" t="s">
        <v>73</v>
      </c>
      <c r="D33" s="55" t="s">
        <v>74</v>
      </c>
      <c r="E33" s="54"/>
      <c r="G33" s="59"/>
    </row>
    <row r="34">
      <c r="A34" s="53" t="s">
        <v>104</v>
      </c>
      <c r="B34" s="53" t="s">
        <v>72</v>
      </c>
      <c r="C34" s="54" t="s">
        <v>73</v>
      </c>
      <c r="D34" s="55" t="s">
        <v>74</v>
      </c>
      <c r="E34" s="54"/>
      <c r="G34" s="59"/>
    </row>
    <row r="35">
      <c r="A35" s="53" t="s">
        <v>105</v>
      </c>
      <c r="B35" s="53" t="s">
        <v>72</v>
      </c>
      <c r="C35" s="54" t="s">
        <v>73</v>
      </c>
      <c r="D35" s="55" t="s">
        <v>74</v>
      </c>
      <c r="E35" s="54"/>
      <c r="G35" s="59"/>
    </row>
    <row r="36">
      <c r="A36" s="53" t="s">
        <v>106</v>
      </c>
      <c r="B36" s="53" t="s">
        <v>107</v>
      </c>
      <c r="C36" s="54" t="s">
        <v>73</v>
      </c>
      <c r="D36" s="55" t="s">
        <v>74</v>
      </c>
      <c r="E36" s="54"/>
      <c r="G36" s="59"/>
    </row>
    <row r="37">
      <c r="A37" s="53" t="s">
        <v>108</v>
      </c>
      <c r="B37" s="53" t="s">
        <v>72</v>
      </c>
      <c r="C37" s="54" t="s">
        <v>73</v>
      </c>
      <c r="D37" s="55" t="s">
        <v>74</v>
      </c>
      <c r="E37" s="54"/>
      <c r="G37" s="59"/>
    </row>
    <row r="38">
      <c r="A38" s="53" t="s">
        <v>109</v>
      </c>
      <c r="B38" s="53" t="s">
        <v>72</v>
      </c>
      <c r="C38" s="54" t="s">
        <v>73</v>
      </c>
      <c r="D38" s="55" t="s">
        <v>74</v>
      </c>
      <c r="E38" s="54"/>
      <c r="G38" s="59"/>
    </row>
    <row r="39">
      <c r="A39" s="53" t="s">
        <v>110</v>
      </c>
      <c r="B39" s="53" t="s">
        <v>72</v>
      </c>
      <c r="C39" s="54" t="s">
        <v>73</v>
      </c>
      <c r="D39" s="55" t="s">
        <v>74</v>
      </c>
      <c r="E39" s="58"/>
      <c r="G39" s="59"/>
    </row>
    <row r="40">
      <c r="A40" s="48" t="s">
        <v>111</v>
      </c>
      <c r="B40" s="49"/>
      <c r="C40" s="49"/>
      <c r="D40" s="49"/>
      <c r="E40" s="49"/>
      <c r="G40" s="50"/>
    </row>
    <row r="41">
      <c r="A41" s="51" t="s">
        <v>66</v>
      </c>
      <c r="B41" s="51" t="s">
        <v>67</v>
      </c>
      <c r="C41" s="49"/>
      <c r="D41" s="51" t="s">
        <v>69</v>
      </c>
      <c r="E41" s="51" t="s">
        <v>70</v>
      </c>
      <c r="F41" s="61"/>
      <c r="G41" s="61"/>
    </row>
    <row r="42">
      <c r="A42" s="53" t="s">
        <v>112</v>
      </c>
      <c r="B42" s="53" t="s">
        <v>72</v>
      </c>
      <c r="C42" s="54" t="s">
        <v>73</v>
      </c>
      <c r="D42" s="55" t="s">
        <v>74</v>
      </c>
      <c r="E42" s="54"/>
      <c r="F42" s="61"/>
      <c r="G42" s="59"/>
    </row>
    <row r="43">
      <c r="A43" s="53" t="s">
        <v>113</v>
      </c>
      <c r="B43" s="53" t="s">
        <v>72</v>
      </c>
      <c r="C43" s="54" t="s">
        <v>73</v>
      </c>
      <c r="D43" s="55" t="s">
        <v>74</v>
      </c>
      <c r="E43" s="54"/>
      <c r="F43" s="61"/>
      <c r="G43" s="59"/>
    </row>
    <row r="44">
      <c r="A44" s="62" t="s">
        <v>109</v>
      </c>
      <c r="B44" s="53" t="s">
        <v>72</v>
      </c>
      <c r="C44" s="54" t="s">
        <v>73</v>
      </c>
      <c r="D44" s="55" t="s">
        <v>74</v>
      </c>
      <c r="E44" s="54"/>
      <c r="F44" s="61"/>
      <c r="G44" s="59"/>
    </row>
    <row r="45">
      <c r="A45" s="53" t="s">
        <v>114</v>
      </c>
      <c r="B45" s="53" t="s">
        <v>72</v>
      </c>
      <c r="C45" s="54" t="s">
        <v>73</v>
      </c>
      <c r="D45" s="55" t="s">
        <v>74</v>
      </c>
      <c r="E45" s="54"/>
      <c r="F45" s="61"/>
      <c r="G45" s="59"/>
    </row>
    <row r="46">
      <c r="A46" s="63" t="s">
        <v>115</v>
      </c>
      <c r="B46" s="53" t="s">
        <v>72</v>
      </c>
      <c r="C46" s="54" t="s">
        <v>73</v>
      </c>
      <c r="D46" s="55" t="s">
        <v>74</v>
      </c>
      <c r="E46" s="58"/>
      <c r="F46" s="61"/>
      <c r="G46" s="59"/>
    </row>
    <row r="47">
      <c r="A47" s="53" t="s">
        <v>116</v>
      </c>
      <c r="B47" s="53" t="s">
        <v>72</v>
      </c>
      <c r="C47" s="54" t="s">
        <v>73</v>
      </c>
      <c r="D47" s="55" t="s">
        <v>74</v>
      </c>
      <c r="E47" s="54"/>
      <c r="G47" s="59"/>
    </row>
    <row r="48">
      <c r="A48" s="52"/>
      <c r="B48" s="53"/>
      <c r="C48" s="54" t="s">
        <v>73</v>
      </c>
      <c r="D48" s="55" t="s">
        <v>74</v>
      </c>
      <c r="E48" s="54"/>
      <c r="G48" s="59"/>
    </row>
    <row r="49">
      <c r="A49" s="52"/>
      <c r="B49" s="53"/>
      <c r="C49" s="54" t="s">
        <v>73</v>
      </c>
      <c r="D49" s="55" t="s">
        <v>74</v>
      </c>
      <c r="E49" s="54"/>
    </row>
    <row r="50">
      <c r="A50" s="53"/>
      <c r="B50" s="53"/>
      <c r="C50" s="54" t="s">
        <v>73</v>
      </c>
      <c r="D50" s="55" t="s">
        <v>74</v>
      </c>
      <c r="E50" s="54"/>
    </row>
    <row r="51">
      <c r="A51" s="53"/>
      <c r="B51" s="53"/>
      <c r="C51" s="54" t="s">
        <v>73</v>
      </c>
      <c r="D51" s="55" t="s">
        <v>74</v>
      </c>
      <c r="E51" s="58"/>
    </row>
    <row r="52">
      <c r="A52" s="48" t="s">
        <v>117</v>
      </c>
      <c r="B52" s="49"/>
      <c r="C52" s="49"/>
      <c r="D52" s="49"/>
      <c r="E52" s="49"/>
    </row>
    <row r="53">
      <c r="A53" s="51" t="s">
        <v>66</v>
      </c>
      <c r="B53" s="51" t="s">
        <v>67</v>
      </c>
      <c r="C53" s="49"/>
      <c r="D53" s="51" t="s">
        <v>69</v>
      </c>
      <c r="E53" s="51" t="s">
        <v>70</v>
      </c>
    </row>
    <row r="54">
      <c r="A54" s="53" t="s">
        <v>118</v>
      </c>
      <c r="B54" s="53" t="s">
        <v>119</v>
      </c>
      <c r="C54" s="54" t="s">
        <v>73</v>
      </c>
      <c r="D54" s="55" t="s">
        <v>74</v>
      </c>
      <c r="E54" s="54"/>
    </row>
    <row r="55">
      <c r="A55" s="53" t="s">
        <v>120</v>
      </c>
      <c r="B55" s="53" t="s">
        <v>72</v>
      </c>
      <c r="C55" s="54" t="s">
        <v>73</v>
      </c>
      <c r="D55" s="55" t="s">
        <v>74</v>
      </c>
      <c r="E55" s="54"/>
    </row>
    <row r="56">
      <c r="A56" s="53" t="s">
        <v>121</v>
      </c>
      <c r="B56" s="53" t="s">
        <v>122</v>
      </c>
      <c r="C56" s="54" t="s">
        <v>73</v>
      </c>
      <c r="D56" s="55" t="s">
        <v>74</v>
      </c>
      <c r="E56" s="54"/>
    </row>
    <row r="57">
      <c r="A57" s="53" t="s">
        <v>123</v>
      </c>
      <c r="B57" s="53" t="s">
        <v>72</v>
      </c>
      <c r="C57" s="54" t="s">
        <v>73</v>
      </c>
      <c r="D57" s="55" t="s">
        <v>74</v>
      </c>
      <c r="E57" s="54"/>
    </row>
    <row r="58">
      <c r="A58" s="53" t="s">
        <v>124</v>
      </c>
      <c r="B58" s="53" t="s">
        <v>125</v>
      </c>
      <c r="C58" s="54" t="s">
        <v>73</v>
      </c>
      <c r="D58" s="55" t="s">
        <v>74</v>
      </c>
      <c r="E58" s="54"/>
    </row>
    <row r="59">
      <c r="A59" s="53" t="s">
        <v>126</v>
      </c>
      <c r="B59" s="53" t="s">
        <v>125</v>
      </c>
      <c r="C59" s="54" t="s">
        <v>73</v>
      </c>
      <c r="D59" s="55" t="s">
        <v>74</v>
      </c>
      <c r="E59" s="54"/>
    </row>
    <row r="60">
      <c r="A60" s="53" t="s">
        <v>127</v>
      </c>
      <c r="B60" s="53" t="s">
        <v>72</v>
      </c>
      <c r="C60" s="54" t="s">
        <v>73</v>
      </c>
      <c r="D60" s="55" t="s">
        <v>74</v>
      </c>
      <c r="E60" s="54" t="s">
        <v>128</v>
      </c>
    </row>
    <row r="61">
      <c r="A61" s="53" t="s">
        <v>129</v>
      </c>
      <c r="B61" s="53" t="s">
        <v>72</v>
      </c>
      <c r="C61" s="54" t="s">
        <v>73</v>
      </c>
      <c r="D61" s="55" t="s">
        <v>74</v>
      </c>
      <c r="E61" s="54"/>
    </row>
    <row r="62">
      <c r="A62" s="53" t="s">
        <v>130</v>
      </c>
      <c r="B62" s="53" t="s">
        <v>107</v>
      </c>
      <c r="C62" s="54" t="s">
        <v>73</v>
      </c>
      <c r="D62" s="55" t="s">
        <v>74</v>
      </c>
      <c r="E62" s="54"/>
    </row>
    <row r="63">
      <c r="A63" s="53" t="s">
        <v>131</v>
      </c>
      <c r="B63" s="53" t="s">
        <v>72</v>
      </c>
      <c r="C63" s="54" t="s">
        <v>73</v>
      </c>
      <c r="D63" s="55" t="s">
        <v>74</v>
      </c>
      <c r="E63" s="54"/>
    </row>
    <row r="64">
      <c r="A64" s="53" t="s">
        <v>132</v>
      </c>
      <c r="B64" s="53" t="s">
        <v>72</v>
      </c>
      <c r="C64" s="54" t="s">
        <v>73</v>
      </c>
      <c r="D64" s="55" t="s">
        <v>74</v>
      </c>
      <c r="E64" s="54"/>
    </row>
    <row r="65">
      <c r="A65" s="53" t="s">
        <v>133</v>
      </c>
      <c r="B65" s="53" t="s">
        <v>134</v>
      </c>
      <c r="C65" s="54" t="s">
        <v>73</v>
      </c>
      <c r="D65" s="55" t="s">
        <v>74</v>
      </c>
      <c r="E65" s="54"/>
    </row>
    <row r="66">
      <c r="A66" s="53" t="s">
        <v>135</v>
      </c>
      <c r="B66" s="53" t="s">
        <v>134</v>
      </c>
      <c r="C66" s="54" t="s">
        <v>73</v>
      </c>
      <c r="D66" s="55" t="s">
        <v>74</v>
      </c>
      <c r="E66" s="58"/>
    </row>
    <row r="67">
      <c r="A67" s="48" t="s">
        <v>136</v>
      </c>
      <c r="B67" s="49"/>
      <c r="C67" s="49"/>
      <c r="D67" s="49"/>
      <c r="E67" s="49"/>
    </row>
    <row r="68">
      <c r="A68" s="51" t="s">
        <v>66</v>
      </c>
      <c r="B68" s="51" t="s">
        <v>67</v>
      </c>
      <c r="C68" s="49"/>
      <c r="D68" s="51" t="s">
        <v>69</v>
      </c>
      <c r="E68" s="51" t="s">
        <v>70</v>
      </c>
    </row>
    <row r="69">
      <c r="A69" s="53" t="s">
        <v>137</v>
      </c>
      <c r="B69" s="53" t="s">
        <v>72</v>
      </c>
      <c r="C69" s="54" t="s">
        <v>73</v>
      </c>
      <c r="D69" s="55" t="s">
        <v>74</v>
      </c>
      <c r="E69" s="54"/>
    </row>
    <row r="70">
      <c r="A70" s="53" t="s">
        <v>138</v>
      </c>
      <c r="B70" s="53" t="s">
        <v>72</v>
      </c>
      <c r="C70" s="54" t="s">
        <v>73</v>
      </c>
      <c r="D70" s="55" t="s">
        <v>74</v>
      </c>
      <c r="E70" s="54"/>
    </row>
    <row r="71">
      <c r="A71" s="53" t="s">
        <v>139</v>
      </c>
      <c r="B71" s="53" t="s">
        <v>72</v>
      </c>
      <c r="C71" s="54" t="s">
        <v>73</v>
      </c>
      <c r="D71" s="55" t="s">
        <v>74</v>
      </c>
      <c r="E71" s="54"/>
    </row>
    <row r="72">
      <c r="A72" s="53" t="s">
        <v>140</v>
      </c>
      <c r="B72" s="53" t="s">
        <v>141</v>
      </c>
      <c r="C72" s="54" t="s">
        <v>73</v>
      </c>
      <c r="D72" s="55" t="s">
        <v>74</v>
      </c>
      <c r="E72" s="54"/>
    </row>
    <row r="73">
      <c r="A73" s="53" t="s">
        <v>142</v>
      </c>
      <c r="B73" s="53" t="s">
        <v>72</v>
      </c>
      <c r="C73" s="54" t="s">
        <v>73</v>
      </c>
      <c r="D73" s="55" t="s">
        <v>74</v>
      </c>
      <c r="E73" s="58"/>
    </row>
    <row r="74">
      <c r="A74" s="53" t="s">
        <v>143</v>
      </c>
      <c r="B74" s="53" t="s">
        <v>72</v>
      </c>
      <c r="C74" s="54" t="s">
        <v>73</v>
      </c>
      <c r="D74" s="55" t="s">
        <v>74</v>
      </c>
      <c r="E74" s="54"/>
    </row>
    <row r="75">
      <c r="A75" s="53" t="s">
        <v>144</v>
      </c>
      <c r="B75" s="53" t="s">
        <v>145</v>
      </c>
      <c r="C75" s="54" t="s">
        <v>73</v>
      </c>
      <c r="D75" s="55" t="s">
        <v>74</v>
      </c>
      <c r="E75" s="54"/>
    </row>
    <row r="76">
      <c r="A76" s="48" t="s">
        <v>146</v>
      </c>
      <c r="B76" s="49"/>
      <c r="C76" s="49"/>
      <c r="D76" s="49"/>
      <c r="E76" s="49"/>
    </row>
    <row r="77">
      <c r="A77" s="51" t="s">
        <v>66</v>
      </c>
      <c r="B77" s="51" t="s">
        <v>67</v>
      </c>
      <c r="C77" s="49"/>
      <c r="D77" s="51" t="s">
        <v>69</v>
      </c>
      <c r="E77" s="51" t="s">
        <v>70</v>
      </c>
    </row>
    <row r="78">
      <c r="A78" s="52" t="s">
        <v>147</v>
      </c>
      <c r="B78" s="53" t="s">
        <v>72</v>
      </c>
      <c r="C78" s="54" t="s">
        <v>73</v>
      </c>
      <c r="D78" s="55" t="s">
        <v>74</v>
      </c>
      <c r="E78" s="54"/>
    </row>
    <row r="79">
      <c r="A79" s="52" t="s">
        <v>148</v>
      </c>
      <c r="B79" s="53" t="s">
        <v>72</v>
      </c>
      <c r="C79" s="54" t="s">
        <v>73</v>
      </c>
      <c r="D79" s="55" t="s">
        <v>74</v>
      </c>
      <c r="E79" s="54"/>
    </row>
    <row r="80">
      <c r="A80" s="53" t="s">
        <v>149</v>
      </c>
      <c r="B80" s="53" t="s">
        <v>72</v>
      </c>
      <c r="C80" s="54" t="s">
        <v>73</v>
      </c>
      <c r="D80" s="55" t="s">
        <v>74</v>
      </c>
      <c r="E80" s="54"/>
    </row>
    <row r="81">
      <c r="A81" s="53"/>
      <c r="B81" s="53"/>
      <c r="C81" s="54" t="s">
        <v>73</v>
      </c>
      <c r="D81" s="55" t="s">
        <v>74</v>
      </c>
      <c r="E81" s="54"/>
    </row>
    <row r="82">
      <c r="A82" s="53"/>
      <c r="B82" s="53"/>
      <c r="C82" s="54" t="s">
        <v>73</v>
      </c>
      <c r="D82" s="55" t="s">
        <v>74</v>
      </c>
      <c r="E82" s="58"/>
    </row>
    <row r="83">
      <c r="A83" s="53"/>
      <c r="B83" s="53"/>
      <c r="C83" s="54" t="s">
        <v>73</v>
      </c>
      <c r="D83" s="55" t="s">
        <v>74</v>
      </c>
      <c r="E83" s="54"/>
      <c r="H83" s="59"/>
      <c r="I83" s="59"/>
      <c r="J83" s="59"/>
      <c r="K83" s="59"/>
      <c r="L83" s="59"/>
    </row>
    <row r="84">
      <c r="A84" s="53"/>
      <c r="B84" s="53"/>
      <c r="C84" s="54" t="s">
        <v>73</v>
      </c>
      <c r="D84" s="55" t="s">
        <v>74</v>
      </c>
      <c r="E84" s="54"/>
      <c r="H84" s="59"/>
      <c r="I84" s="59"/>
      <c r="J84" s="59"/>
      <c r="K84" s="59"/>
      <c r="L84" s="59"/>
    </row>
    <row r="85">
      <c r="A85" s="53"/>
      <c r="B85" s="53"/>
      <c r="C85" s="54" t="s">
        <v>73</v>
      </c>
      <c r="D85" s="55" t="s">
        <v>74</v>
      </c>
      <c r="E85" s="54"/>
      <c r="H85" s="59"/>
      <c r="I85" s="59"/>
      <c r="J85" s="59"/>
      <c r="K85" s="59"/>
      <c r="L85" s="59"/>
    </row>
    <row r="86">
      <c r="A86" s="53"/>
      <c r="B86" s="53"/>
      <c r="C86" s="54" t="s">
        <v>73</v>
      </c>
      <c r="D86" s="55" t="s">
        <v>74</v>
      </c>
      <c r="E86" s="54"/>
    </row>
    <row r="87">
      <c r="A87" s="53"/>
      <c r="B87" s="53"/>
      <c r="C87" s="54" t="s">
        <v>73</v>
      </c>
      <c r="D87" s="55" t="s">
        <v>74</v>
      </c>
      <c r="E87" s="58"/>
    </row>
    <row r="88">
      <c r="A88" s="48"/>
      <c r="B88" s="49"/>
      <c r="C88" s="49"/>
      <c r="D88" s="49"/>
      <c r="E88" s="49"/>
      <c r="H88" s="59"/>
      <c r="I88" s="59"/>
      <c r="J88" s="59"/>
      <c r="K88" s="59"/>
      <c r="L88" s="59"/>
    </row>
    <row r="89">
      <c r="A89" s="51" t="s">
        <v>66</v>
      </c>
      <c r="B89" s="51" t="s">
        <v>67</v>
      </c>
      <c r="C89" s="49"/>
      <c r="D89" s="51" t="s">
        <v>69</v>
      </c>
      <c r="E89" s="51" t="s">
        <v>70</v>
      </c>
      <c r="H89" s="59"/>
      <c r="I89" s="59"/>
      <c r="J89" s="59"/>
      <c r="K89" s="59"/>
      <c r="L89" s="59"/>
    </row>
    <row r="90">
      <c r="A90" s="52"/>
      <c r="B90" s="53"/>
      <c r="C90" s="54" t="s">
        <v>73</v>
      </c>
      <c r="D90" s="55" t="s">
        <v>74</v>
      </c>
      <c r="E90" s="54"/>
      <c r="H90" s="59"/>
      <c r="I90" s="59"/>
      <c r="J90" s="59"/>
      <c r="K90" s="59"/>
      <c r="L90" s="59"/>
    </row>
    <row r="91">
      <c r="A91" s="52"/>
      <c r="B91" s="53"/>
      <c r="C91" s="54" t="s">
        <v>73</v>
      </c>
      <c r="D91" s="55" t="s">
        <v>74</v>
      </c>
      <c r="E91" s="54"/>
      <c r="H91" s="59"/>
      <c r="I91" s="59"/>
      <c r="J91" s="59"/>
      <c r="K91" s="59"/>
      <c r="L91" s="59"/>
    </row>
    <row r="92">
      <c r="A92" s="53"/>
      <c r="B92" s="53"/>
      <c r="C92" s="54" t="s">
        <v>73</v>
      </c>
      <c r="D92" s="55" t="s">
        <v>74</v>
      </c>
      <c r="E92" s="54"/>
      <c r="H92" s="59"/>
    </row>
    <row r="93">
      <c r="A93" s="53"/>
      <c r="B93" s="53"/>
      <c r="C93" s="54" t="s">
        <v>73</v>
      </c>
      <c r="D93" s="55" t="s">
        <v>74</v>
      </c>
      <c r="E93" s="54"/>
      <c r="H93" s="59"/>
      <c r="I93" s="59"/>
      <c r="J93" s="59"/>
      <c r="K93" s="59"/>
      <c r="L93" s="59"/>
    </row>
    <row r="94">
      <c r="A94" s="53"/>
      <c r="B94" s="53"/>
      <c r="C94" s="54" t="s">
        <v>73</v>
      </c>
      <c r="D94" s="55" t="s">
        <v>74</v>
      </c>
      <c r="E94" s="58"/>
      <c r="H94" s="59"/>
      <c r="I94" s="59"/>
      <c r="J94" s="59"/>
      <c r="K94" s="59"/>
      <c r="L94" s="59"/>
    </row>
    <row r="95">
      <c r="A95" s="53"/>
      <c r="B95" s="53"/>
      <c r="C95" s="54" t="s">
        <v>73</v>
      </c>
      <c r="D95" s="55" t="s">
        <v>74</v>
      </c>
      <c r="E95" s="54"/>
      <c r="H95" s="59"/>
      <c r="I95" s="59"/>
      <c r="J95" s="59"/>
      <c r="K95" s="59"/>
      <c r="L95" s="59"/>
    </row>
    <row r="96">
      <c r="A96" s="53"/>
      <c r="B96" s="53"/>
      <c r="C96" s="54" t="s">
        <v>73</v>
      </c>
      <c r="D96" s="55" t="s">
        <v>74</v>
      </c>
      <c r="E96" s="54"/>
      <c r="H96" s="59"/>
      <c r="I96" s="59"/>
      <c r="J96" s="59"/>
      <c r="K96" s="59"/>
      <c r="L96" s="59"/>
    </row>
    <row r="97">
      <c r="A97" s="53"/>
      <c r="B97" s="53"/>
      <c r="C97" s="54" t="s">
        <v>73</v>
      </c>
      <c r="D97" s="55" t="s">
        <v>74</v>
      </c>
      <c r="E97" s="54"/>
      <c r="H97" s="59"/>
      <c r="I97" s="59"/>
      <c r="J97" s="59"/>
      <c r="K97" s="59"/>
      <c r="L97" s="59"/>
    </row>
    <row r="98">
      <c r="A98" s="53"/>
      <c r="B98" s="53"/>
      <c r="C98" s="54" t="s">
        <v>73</v>
      </c>
      <c r="D98" s="55" t="s">
        <v>74</v>
      </c>
      <c r="E98" s="54"/>
      <c r="H98" s="59"/>
      <c r="I98" s="59"/>
      <c r="J98" s="59"/>
      <c r="K98" s="59"/>
      <c r="L98" s="59"/>
    </row>
    <row r="99">
      <c r="A99" s="53"/>
      <c r="B99" s="53"/>
      <c r="C99" s="54" t="s">
        <v>73</v>
      </c>
      <c r="D99" s="55" t="s">
        <v>74</v>
      </c>
      <c r="E99" s="58"/>
      <c r="H99" s="59"/>
      <c r="I99" s="59"/>
      <c r="J99" s="59"/>
      <c r="K99" s="59"/>
      <c r="L99" s="59"/>
    </row>
    <row r="100">
      <c r="A100" s="48"/>
      <c r="B100" s="49"/>
      <c r="C100" s="49"/>
      <c r="D100" s="49"/>
      <c r="E100" s="49"/>
    </row>
    <row r="101">
      <c r="A101" s="51" t="s">
        <v>66</v>
      </c>
      <c r="B101" s="51" t="s">
        <v>67</v>
      </c>
      <c r="C101" s="49"/>
      <c r="D101" s="51" t="s">
        <v>69</v>
      </c>
      <c r="E101" s="51" t="s">
        <v>70</v>
      </c>
    </row>
    <row r="102">
      <c r="A102" s="53"/>
      <c r="B102" s="53"/>
      <c r="C102" s="54" t="s">
        <v>73</v>
      </c>
      <c r="D102" s="55" t="s">
        <v>74</v>
      </c>
      <c r="E102" s="54"/>
    </row>
    <row r="103">
      <c r="A103" s="53"/>
      <c r="B103" s="53"/>
      <c r="C103" s="54" t="s">
        <v>73</v>
      </c>
      <c r="D103" s="55" t="s">
        <v>74</v>
      </c>
      <c r="E103" s="54"/>
    </row>
    <row r="104">
      <c r="A104" s="53"/>
      <c r="B104" s="53"/>
      <c r="C104" s="54" t="s">
        <v>73</v>
      </c>
      <c r="D104" s="55" t="s">
        <v>74</v>
      </c>
      <c r="E104" s="54"/>
    </row>
    <row r="105">
      <c r="A105" s="53"/>
      <c r="B105" s="53"/>
      <c r="C105" s="54" t="s">
        <v>73</v>
      </c>
      <c r="D105" s="55" t="s">
        <v>74</v>
      </c>
      <c r="E105" s="54"/>
    </row>
    <row r="106">
      <c r="A106" s="53"/>
      <c r="B106" s="53"/>
      <c r="C106" s="54" t="s">
        <v>73</v>
      </c>
      <c r="D106" s="55" t="s">
        <v>74</v>
      </c>
      <c r="E106" s="58"/>
    </row>
    <row r="107">
      <c r="A107" s="53"/>
      <c r="B107" s="53"/>
      <c r="C107" s="54" t="s">
        <v>73</v>
      </c>
      <c r="D107" s="55" t="s">
        <v>74</v>
      </c>
      <c r="E107" s="54"/>
    </row>
    <row r="108">
      <c r="A108" s="53"/>
      <c r="B108" s="53"/>
      <c r="C108" s="54" t="s">
        <v>73</v>
      </c>
      <c r="D108" s="55" t="s">
        <v>74</v>
      </c>
      <c r="E108" s="54"/>
    </row>
    <row r="109">
      <c r="A109" s="53"/>
      <c r="B109" s="53"/>
      <c r="C109" s="54" t="s">
        <v>73</v>
      </c>
      <c r="D109" s="55" t="s">
        <v>74</v>
      </c>
      <c r="E109" s="54"/>
    </row>
    <row r="110">
      <c r="A110" s="53"/>
      <c r="B110" s="53"/>
      <c r="C110" s="54" t="s">
        <v>73</v>
      </c>
      <c r="D110" s="55" t="s">
        <v>74</v>
      </c>
      <c r="E110" s="54"/>
    </row>
    <row r="111">
      <c r="A111" s="53"/>
      <c r="B111" s="53"/>
      <c r="C111" s="54" t="s">
        <v>73</v>
      </c>
      <c r="D111" s="55" t="s">
        <v>74</v>
      </c>
      <c r="E111" s="58"/>
    </row>
    <row r="112">
      <c r="A112" s="48"/>
      <c r="B112" s="49"/>
      <c r="C112" s="49"/>
      <c r="D112" s="49"/>
      <c r="E112" s="49"/>
    </row>
    <row r="113">
      <c r="A113" s="51" t="s">
        <v>66</v>
      </c>
      <c r="B113" s="51" t="s">
        <v>67</v>
      </c>
      <c r="C113" s="49"/>
      <c r="D113" s="51" t="s">
        <v>69</v>
      </c>
      <c r="E113" s="51" t="s">
        <v>70</v>
      </c>
    </row>
    <row r="114">
      <c r="A114" s="53"/>
      <c r="B114" s="53"/>
      <c r="C114" s="54" t="s">
        <v>73</v>
      </c>
      <c r="D114" s="55" t="s">
        <v>74</v>
      </c>
      <c r="E114" s="54"/>
    </row>
    <row r="115">
      <c r="A115" s="53"/>
      <c r="B115" s="53"/>
      <c r="C115" s="54" t="s">
        <v>73</v>
      </c>
      <c r="D115" s="55" t="s">
        <v>74</v>
      </c>
      <c r="E115" s="54"/>
    </row>
    <row r="116">
      <c r="A116" s="56"/>
      <c r="B116" s="53"/>
      <c r="C116" s="54" t="s">
        <v>73</v>
      </c>
      <c r="D116" s="55" t="s">
        <v>74</v>
      </c>
      <c r="E116" s="54"/>
    </row>
    <row r="117">
      <c r="A117" s="53"/>
      <c r="B117" s="53"/>
      <c r="C117" s="54" t="s">
        <v>73</v>
      </c>
      <c r="D117" s="55" t="s">
        <v>74</v>
      </c>
      <c r="E117" s="54"/>
    </row>
    <row r="118">
      <c r="A118" s="53"/>
      <c r="B118" s="53"/>
      <c r="C118" s="54" t="s">
        <v>73</v>
      </c>
      <c r="D118" s="55" t="s">
        <v>74</v>
      </c>
      <c r="E118" s="58"/>
    </row>
    <row r="119">
      <c r="A119" s="53"/>
      <c r="B119" s="53"/>
      <c r="C119" s="54" t="s">
        <v>73</v>
      </c>
      <c r="D119" s="55" t="s">
        <v>74</v>
      </c>
      <c r="E119" s="54"/>
    </row>
    <row r="120">
      <c r="A120" s="53"/>
      <c r="B120" s="53"/>
      <c r="C120" s="54" t="s">
        <v>73</v>
      </c>
      <c r="D120" s="55" t="s">
        <v>74</v>
      </c>
      <c r="E120" s="54"/>
    </row>
    <row r="121">
      <c r="A121" s="53"/>
      <c r="B121" s="53"/>
      <c r="C121" s="54" t="s">
        <v>73</v>
      </c>
      <c r="D121" s="55" t="s">
        <v>74</v>
      </c>
      <c r="E121" s="54"/>
    </row>
    <row r="122">
      <c r="A122" s="53"/>
      <c r="B122" s="53"/>
      <c r="C122" s="54" t="s">
        <v>73</v>
      </c>
      <c r="D122" s="55" t="s">
        <v>74</v>
      </c>
      <c r="E122" s="54"/>
    </row>
    <row r="123">
      <c r="A123" s="53"/>
      <c r="B123" s="53"/>
      <c r="C123" s="54" t="s">
        <v>73</v>
      </c>
      <c r="D123" s="55" t="s">
        <v>74</v>
      </c>
      <c r="E123" s="58"/>
    </row>
    <row r="124">
      <c r="A124" s="48"/>
      <c r="B124" s="49"/>
      <c r="C124" s="49"/>
      <c r="D124" s="49"/>
      <c r="E124" s="49"/>
    </row>
    <row r="125">
      <c r="A125" s="51" t="s">
        <v>66</v>
      </c>
      <c r="B125" s="51" t="s">
        <v>67</v>
      </c>
      <c r="C125" s="49"/>
      <c r="D125" s="51" t="s">
        <v>69</v>
      </c>
      <c r="E125" s="51" t="s">
        <v>70</v>
      </c>
    </row>
    <row r="126">
      <c r="A126" s="53"/>
      <c r="B126" s="53"/>
      <c r="C126" s="54" t="s">
        <v>73</v>
      </c>
      <c r="D126" s="55" t="s">
        <v>74</v>
      </c>
      <c r="E126" s="54"/>
    </row>
    <row r="127">
      <c r="A127" s="53"/>
      <c r="B127" s="53"/>
      <c r="C127" s="54" t="s">
        <v>73</v>
      </c>
      <c r="D127" s="55" t="s">
        <v>74</v>
      </c>
      <c r="E127" s="54"/>
    </row>
    <row r="128">
      <c r="A128" s="56"/>
      <c r="B128" s="53"/>
      <c r="C128" s="54" t="s">
        <v>73</v>
      </c>
      <c r="D128" s="55" t="s">
        <v>74</v>
      </c>
      <c r="E128" s="54"/>
    </row>
    <row r="129">
      <c r="A129" s="53"/>
      <c r="B129" s="53"/>
      <c r="C129" s="54" t="s">
        <v>73</v>
      </c>
      <c r="D129" s="55" t="s">
        <v>74</v>
      </c>
      <c r="E129" s="54"/>
    </row>
    <row r="130">
      <c r="A130" s="53"/>
      <c r="B130" s="53"/>
      <c r="C130" s="54" t="s">
        <v>73</v>
      </c>
      <c r="D130" s="55" t="s">
        <v>74</v>
      </c>
      <c r="E130" s="58"/>
    </row>
    <row r="131">
      <c r="A131" s="53"/>
      <c r="B131" s="53"/>
      <c r="C131" s="54" t="s">
        <v>73</v>
      </c>
      <c r="D131" s="55" t="s">
        <v>74</v>
      </c>
      <c r="E131" s="54"/>
    </row>
    <row r="132">
      <c r="A132" s="53"/>
      <c r="B132" s="53"/>
      <c r="C132" s="54" t="s">
        <v>73</v>
      </c>
      <c r="D132" s="55" t="s">
        <v>74</v>
      </c>
      <c r="E132" s="54"/>
    </row>
    <row r="133">
      <c r="A133" s="53"/>
      <c r="B133" s="53"/>
      <c r="C133" s="54" t="s">
        <v>73</v>
      </c>
      <c r="D133" s="55" t="s">
        <v>74</v>
      </c>
      <c r="E133" s="54"/>
    </row>
    <row r="134">
      <c r="A134" s="53"/>
      <c r="B134" s="53"/>
      <c r="C134" s="54" t="s">
        <v>73</v>
      </c>
      <c r="D134" s="55" t="s">
        <v>74</v>
      </c>
      <c r="E134" s="54"/>
    </row>
    <row r="135">
      <c r="A135" s="53"/>
      <c r="B135" s="53"/>
      <c r="C135" s="54" t="s">
        <v>73</v>
      </c>
      <c r="D135" s="55" t="s">
        <v>74</v>
      </c>
      <c r="E135" s="58"/>
    </row>
    <row r="136">
      <c r="A136" s="48"/>
      <c r="B136" s="49"/>
      <c r="C136" s="49"/>
      <c r="D136" s="49"/>
      <c r="E136" s="49"/>
    </row>
    <row r="137">
      <c r="A137" s="51" t="s">
        <v>66</v>
      </c>
      <c r="B137" s="51" t="s">
        <v>67</v>
      </c>
      <c r="C137" s="49"/>
      <c r="D137" s="51" t="s">
        <v>69</v>
      </c>
      <c r="E137" s="51" t="s">
        <v>70</v>
      </c>
    </row>
    <row r="138">
      <c r="A138" s="53"/>
      <c r="B138" s="53"/>
      <c r="C138" s="54" t="s">
        <v>73</v>
      </c>
      <c r="D138" s="55" t="s">
        <v>74</v>
      </c>
      <c r="E138" s="54"/>
    </row>
    <row r="139">
      <c r="A139" s="53"/>
      <c r="B139" s="53"/>
      <c r="C139" s="54" t="s">
        <v>73</v>
      </c>
      <c r="D139" s="55" t="s">
        <v>74</v>
      </c>
      <c r="E139" s="54"/>
    </row>
    <row r="140">
      <c r="A140" s="56"/>
      <c r="B140" s="53"/>
      <c r="C140" s="54" t="s">
        <v>73</v>
      </c>
      <c r="D140" s="55" t="s">
        <v>74</v>
      </c>
      <c r="E140" s="54"/>
    </row>
    <row r="141">
      <c r="A141" s="53"/>
      <c r="B141" s="53"/>
      <c r="C141" s="54" t="s">
        <v>73</v>
      </c>
      <c r="D141" s="55" t="s">
        <v>74</v>
      </c>
      <c r="E141" s="54"/>
    </row>
    <row r="142">
      <c r="A142" s="53"/>
      <c r="B142" s="53"/>
      <c r="C142" s="54" t="s">
        <v>73</v>
      </c>
      <c r="D142" s="55" t="s">
        <v>74</v>
      </c>
      <c r="E142" s="58"/>
    </row>
    <row r="143">
      <c r="A143" s="53"/>
      <c r="B143" s="53"/>
      <c r="C143" s="54" t="s">
        <v>73</v>
      </c>
      <c r="D143" s="55" t="s">
        <v>74</v>
      </c>
      <c r="E143" s="54"/>
    </row>
    <row r="144">
      <c r="A144" s="53"/>
      <c r="B144" s="53"/>
      <c r="C144" s="54" t="s">
        <v>73</v>
      </c>
      <c r="D144" s="55" t="s">
        <v>74</v>
      </c>
      <c r="E144" s="54"/>
    </row>
    <row r="145">
      <c r="A145" s="53"/>
      <c r="B145" s="53"/>
      <c r="C145" s="54" t="s">
        <v>73</v>
      </c>
      <c r="D145" s="55" t="s">
        <v>74</v>
      </c>
      <c r="E145" s="54"/>
    </row>
    <row r="146">
      <c r="A146" s="53"/>
      <c r="B146" s="53"/>
      <c r="C146" s="54" t="s">
        <v>73</v>
      </c>
      <c r="D146" s="55" t="s">
        <v>74</v>
      </c>
      <c r="E146" s="54"/>
    </row>
    <row r="147">
      <c r="A147" s="53"/>
      <c r="B147" s="53"/>
      <c r="C147" s="54" t="s">
        <v>73</v>
      </c>
      <c r="D147" s="55" t="s">
        <v>74</v>
      </c>
      <c r="E147" s="58"/>
    </row>
    <row r="148">
      <c r="A148" s="48"/>
      <c r="B148" s="49"/>
      <c r="C148" s="49"/>
      <c r="D148" s="49"/>
      <c r="E148" s="49"/>
    </row>
    <row r="149">
      <c r="A149" s="51" t="s">
        <v>66</v>
      </c>
      <c r="B149" s="51" t="s">
        <v>67</v>
      </c>
      <c r="C149" s="49"/>
      <c r="D149" s="51" t="s">
        <v>69</v>
      </c>
      <c r="E149" s="51" t="s">
        <v>70</v>
      </c>
    </row>
    <row r="150">
      <c r="A150" s="53"/>
      <c r="B150" s="53"/>
      <c r="C150" s="54" t="s">
        <v>73</v>
      </c>
      <c r="D150" s="55" t="s">
        <v>74</v>
      </c>
      <c r="E150" s="54"/>
    </row>
    <row r="151">
      <c r="A151" s="53"/>
      <c r="B151" s="53"/>
      <c r="C151" s="54" t="s">
        <v>73</v>
      </c>
      <c r="D151" s="55" t="s">
        <v>74</v>
      </c>
      <c r="E151" s="54"/>
    </row>
    <row r="152">
      <c r="A152" s="56"/>
      <c r="B152" s="53"/>
      <c r="C152" s="54" t="s">
        <v>73</v>
      </c>
      <c r="D152" s="55" t="s">
        <v>74</v>
      </c>
      <c r="E152" s="54"/>
    </row>
    <row r="153">
      <c r="A153" s="53"/>
      <c r="B153" s="53"/>
      <c r="C153" s="54" t="s">
        <v>73</v>
      </c>
      <c r="D153" s="55" t="s">
        <v>74</v>
      </c>
      <c r="E153" s="54"/>
    </row>
    <row r="154">
      <c r="A154" s="53"/>
      <c r="B154" s="53"/>
      <c r="C154" s="54" t="s">
        <v>73</v>
      </c>
      <c r="D154" s="55" t="s">
        <v>74</v>
      </c>
      <c r="E154" s="58"/>
    </row>
    <row r="155">
      <c r="A155" s="53"/>
      <c r="B155" s="53"/>
      <c r="C155" s="54" t="s">
        <v>73</v>
      </c>
      <c r="D155" s="55" t="s">
        <v>74</v>
      </c>
      <c r="E155" s="54"/>
    </row>
    <row r="156">
      <c r="A156" s="53"/>
      <c r="B156" s="53"/>
      <c r="C156" s="54" t="s">
        <v>73</v>
      </c>
      <c r="D156" s="55" t="s">
        <v>74</v>
      </c>
      <c r="E156" s="54"/>
    </row>
    <row r="157">
      <c r="A157" s="53"/>
      <c r="B157" s="53"/>
      <c r="C157" s="54" t="s">
        <v>73</v>
      </c>
      <c r="D157" s="55" t="s">
        <v>74</v>
      </c>
      <c r="E157" s="54"/>
    </row>
    <row r="158">
      <c r="A158" s="53"/>
      <c r="B158" s="53"/>
      <c r="C158" s="54" t="s">
        <v>73</v>
      </c>
      <c r="D158" s="55" t="s">
        <v>74</v>
      </c>
      <c r="E158" s="54"/>
    </row>
    <row r="159">
      <c r="A159" s="53"/>
      <c r="B159" s="53"/>
      <c r="C159" s="54" t="s">
        <v>73</v>
      </c>
      <c r="D159" s="55" t="s">
        <v>74</v>
      </c>
      <c r="E159" s="58"/>
    </row>
    <row r="160">
      <c r="A160" s="48"/>
      <c r="B160" s="49"/>
      <c r="C160" s="49"/>
      <c r="D160" s="49"/>
      <c r="E160" s="49"/>
    </row>
    <row r="161">
      <c r="A161" s="51" t="s">
        <v>66</v>
      </c>
      <c r="B161" s="51" t="s">
        <v>67</v>
      </c>
      <c r="C161" s="49"/>
      <c r="D161" s="51" t="s">
        <v>69</v>
      </c>
      <c r="E161" s="51" t="s">
        <v>70</v>
      </c>
    </row>
    <row r="162">
      <c r="A162" s="53"/>
      <c r="B162" s="53"/>
      <c r="C162" s="54" t="s">
        <v>73</v>
      </c>
      <c r="D162" s="55" t="s">
        <v>74</v>
      </c>
      <c r="E162" s="54"/>
    </row>
    <row r="163">
      <c r="A163" s="53"/>
      <c r="B163" s="53"/>
      <c r="C163" s="54" t="s">
        <v>73</v>
      </c>
      <c r="D163" s="55" t="s">
        <v>74</v>
      </c>
      <c r="E163" s="54"/>
    </row>
    <row r="164">
      <c r="A164" s="56"/>
      <c r="B164" s="53"/>
      <c r="C164" s="54" t="s">
        <v>73</v>
      </c>
      <c r="D164" s="55" t="s">
        <v>74</v>
      </c>
      <c r="E164" s="54"/>
    </row>
    <row r="165">
      <c r="A165" s="53"/>
      <c r="B165" s="53"/>
      <c r="C165" s="54" t="s">
        <v>73</v>
      </c>
      <c r="D165" s="55" t="s">
        <v>74</v>
      </c>
      <c r="E165" s="54"/>
    </row>
    <row r="166">
      <c r="A166" s="53"/>
      <c r="B166" s="53"/>
      <c r="C166" s="54" t="s">
        <v>73</v>
      </c>
      <c r="D166" s="55" t="s">
        <v>74</v>
      </c>
      <c r="E166" s="58"/>
    </row>
    <row r="167">
      <c r="A167" s="53"/>
      <c r="B167" s="53"/>
      <c r="C167" s="54" t="s">
        <v>73</v>
      </c>
      <c r="D167" s="55" t="s">
        <v>74</v>
      </c>
      <c r="E167" s="54"/>
    </row>
    <row r="168">
      <c r="A168" s="53"/>
      <c r="B168" s="53"/>
      <c r="C168" s="54" t="s">
        <v>73</v>
      </c>
      <c r="D168" s="55" t="s">
        <v>74</v>
      </c>
      <c r="E168" s="54"/>
    </row>
    <row r="169">
      <c r="A169" s="53"/>
      <c r="B169" s="53"/>
      <c r="C169" s="54" t="s">
        <v>73</v>
      </c>
      <c r="D169" s="55" t="s">
        <v>74</v>
      </c>
      <c r="E169" s="54"/>
    </row>
    <row r="170">
      <c r="A170" s="53"/>
      <c r="B170" s="53"/>
      <c r="C170" s="54" t="s">
        <v>73</v>
      </c>
      <c r="D170" s="55" t="s">
        <v>74</v>
      </c>
      <c r="E170" s="54"/>
    </row>
    <row r="171">
      <c r="A171" s="53"/>
      <c r="B171" s="53"/>
      <c r="C171" s="54" t="s">
        <v>73</v>
      </c>
      <c r="D171" s="55" t="s">
        <v>74</v>
      </c>
      <c r="E171" s="58"/>
    </row>
    <row r="172">
      <c r="A172" s="48"/>
      <c r="B172" s="49"/>
      <c r="C172" s="49"/>
      <c r="D172" s="49"/>
      <c r="E172" s="49"/>
    </row>
    <row r="173">
      <c r="A173" s="51" t="s">
        <v>66</v>
      </c>
      <c r="B173" s="51" t="s">
        <v>67</v>
      </c>
      <c r="C173" s="49"/>
      <c r="D173" s="51" t="s">
        <v>69</v>
      </c>
      <c r="E173" s="51" t="s">
        <v>70</v>
      </c>
    </row>
    <row r="174">
      <c r="A174" s="53"/>
      <c r="B174" s="53"/>
      <c r="C174" s="54" t="s">
        <v>73</v>
      </c>
      <c r="D174" s="55" t="s">
        <v>74</v>
      </c>
      <c r="E174" s="54"/>
    </row>
    <row r="175">
      <c r="A175" s="53"/>
      <c r="B175" s="53"/>
      <c r="C175" s="54" t="s">
        <v>73</v>
      </c>
      <c r="D175" s="55" t="s">
        <v>74</v>
      </c>
      <c r="E175" s="54"/>
    </row>
    <row r="176">
      <c r="A176" s="56"/>
      <c r="B176" s="53"/>
      <c r="C176" s="54" t="s">
        <v>73</v>
      </c>
      <c r="D176" s="55" t="s">
        <v>74</v>
      </c>
      <c r="E176" s="54"/>
    </row>
    <row r="177">
      <c r="A177" s="53"/>
      <c r="B177" s="53"/>
      <c r="C177" s="54" t="s">
        <v>73</v>
      </c>
      <c r="D177" s="55" t="s">
        <v>74</v>
      </c>
      <c r="E177" s="54"/>
    </row>
    <row r="178">
      <c r="A178" s="53"/>
      <c r="B178" s="53"/>
      <c r="C178" s="54" t="s">
        <v>73</v>
      </c>
      <c r="D178" s="55" t="s">
        <v>74</v>
      </c>
      <c r="E178" s="58"/>
    </row>
    <row r="179">
      <c r="A179" s="53"/>
      <c r="B179" s="53"/>
      <c r="C179" s="54" t="s">
        <v>73</v>
      </c>
      <c r="D179" s="55" t="s">
        <v>74</v>
      </c>
      <c r="E179" s="54"/>
    </row>
    <row r="180">
      <c r="A180" s="53"/>
      <c r="B180" s="53"/>
      <c r="C180" s="54" t="s">
        <v>73</v>
      </c>
      <c r="D180" s="55" t="s">
        <v>74</v>
      </c>
      <c r="E180" s="54"/>
    </row>
    <row r="181">
      <c r="A181" s="53"/>
      <c r="B181" s="53"/>
      <c r="C181" s="54" t="s">
        <v>73</v>
      </c>
      <c r="D181" s="55" t="s">
        <v>74</v>
      </c>
      <c r="E181" s="54"/>
    </row>
    <row r="182">
      <c r="A182" s="53"/>
      <c r="B182" s="53"/>
      <c r="C182" s="54" t="s">
        <v>73</v>
      </c>
      <c r="D182" s="55" t="s">
        <v>74</v>
      </c>
      <c r="E182" s="54"/>
    </row>
    <row r="183">
      <c r="A183" s="53"/>
      <c r="B183" s="53"/>
      <c r="C183" s="54" t="s">
        <v>73</v>
      </c>
      <c r="D183" s="55" t="s">
        <v>74</v>
      </c>
      <c r="E183" s="58"/>
    </row>
    <row r="184">
      <c r="A184" s="48"/>
      <c r="B184" s="49"/>
      <c r="C184" s="49"/>
      <c r="D184" s="49"/>
      <c r="E184" s="49"/>
    </row>
    <row r="185">
      <c r="A185" s="51" t="s">
        <v>66</v>
      </c>
      <c r="B185" s="51" t="s">
        <v>67</v>
      </c>
      <c r="C185" s="49"/>
      <c r="D185" s="51" t="s">
        <v>69</v>
      </c>
      <c r="E185" s="51" t="s">
        <v>70</v>
      </c>
    </row>
    <row r="186">
      <c r="A186" s="53"/>
      <c r="B186" s="53"/>
      <c r="C186" s="54" t="s">
        <v>73</v>
      </c>
      <c r="D186" s="55" t="s">
        <v>74</v>
      </c>
      <c r="E186" s="54"/>
    </row>
    <row r="187">
      <c r="A187" s="53"/>
      <c r="B187" s="53"/>
      <c r="C187" s="54" t="s">
        <v>73</v>
      </c>
      <c r="D187" s="55" t="s">
        <v>74</v>
      </c>
      <c r="E187" s="54"/>
    </row>
    <row r="188">
      <c r="A188" s="56"/>
      <c r="B188" s="53"/>
      <c r="C188" s="54" t="s">
        <v>73</v>
      </c>
      <c r="D188" s="55" t="s">
        <v>74</v>
      </c>
      <c r="E188" s="54"/>
    </row>
    <row r="189">
      <c r="A189" s="53"/>
      <c r="B189" s="53"/>
      <c r="C189" s="54" t="s">
        <v>73</v>
      </c>
      <c r="D189" s="55" t="s">
        <v>74</v>
      </c>
      <c r="E189" s="54"/>
    </row>
    <row r="190">
      <c r="A190" s="53"/>
      <c r="B190" s="53"/>
      <c r="C190" s="54" t="s">
        <v>73</v>
      </c>
      <c r="D190" s="55" t="s">
        <v>74</v>
      </c>
      <c r="E190" s="58"/>
    </row>
    <row r="191">
      <c r="A191" s="53"/>
      <c r="B191" s="53"/>
      <c r="C191" s="54" t="s">
        <v>73</v>
      </c>
      <c r="D191" s="55" t="s">
        <v>74</v>
      </c>
      <c r="E191" s="54"/>
    </row>
    <row r="192">
      <c r="A192" s="53"/>
      <c r="B192" s="53"/>
      <c r="C192" s="54" t="s">
        <v>73</v>
      </c>
      <c r="D192" s="55" t="s">
        <v>74</v>
      </c>
      <c r="E192" s="54"/>
    </row>
    <row r="193">
      <c r="A193" s="53"/>
      <c r="B193" s="53"/>
      <c r="C193" s="54" t="s">
        <v>73</v>
      </c>
      <c r="D193" s="55" t="s">
        <v>74</v>
      </c>
      <c r="E193" s="54"/>
    </row>
    <row r="194">
      <c r="A194" s="53"/>
      <c r="B194" s="53"/>
      <c r="C194" s="54" t="s">
        <v>73</v>
      </c>
      <c r="D194" s="55" t="s">
        <v>74</v>
      </c>
      <c r="E194" s="54"/>
    </row>
    <row r="195">
      <c r="A195" s="53"/>
      <c r="B195" s="53"/>
      <c r="C195" s="54" t="s">
        <v>73</v>
      </c>
      <c r="D195" s="55" t="s">
        <v>74</v>
      </c>
      <c r="E195" s="58"/>
    </row>
    <row r="196">
      <c r="A196" s="48"/>
      <c r="B196" s="49"/>
      <c r="C196" s="49"/>
      <c r="D196" s="49"/>
      <c r="E196" s="49"/>
    </row>
    <row r="197">
      <c r="A197" s="51" t="s">
        <v>66</v>
      </c>
      <c r="B197" s="51" t="s">
        <v>67</v>
      </c>
      <c r="C197" s="49"/>
      <c r="D197" s="51" t="s">
        <v>69</v>
      </c>
      <c r="E197" s="51" t="s">
        <v>70</v>
      </c>
    </row>
    <row r="198">
      <c r="A198" s="53"/>
      <c r="B198" s="53"/>
      <c r="C198" s="54" t="s">
        <v>73</v>
      </c>
      <c r="D198" s="55" t="s">
        <v>74</v>
      </c>
      <c r="E198" s="54"/>
    </row>
    <row r="199">
      <c r="A199" s="53"/>
      <c r="B199" s="53"/>
      <c r="C199" s="54" t="s">
        <v>73</v>
      </c>
      <c r="D199" s="55" t="s">
        <v>74</v>
      </c>
      <c r="E199" s="54"/>
    </row>
    <row r="200">
      <c r="A200" s="56"/>
      <c r="B200" s="53"/>
      <c r="C200" s="54" t="s">
        <v>73</v>
      </c>
      <c r="D200" s="55" t="s">
        <v>74</v>
      </c>
      <c r="E200" s="54"/>
    </row>
    <row r="201">
      <c r="A201" s="53"/>
      <c r="B201" s="53"/>
      <c r="C201" s="54" t="s">
        <v>73</v>
      </c>
      <c r="D201" s="55" t="s">
        <v>74</v>
      </c>
      <c r="E201" s="54"/>
    </row>
    <row r="202">
      <c r="A202" s="53"/>
      <c r="B202" s="53"/>
      <c r="C202" s="54" t="s">
        <v>73</v>
      </c>
      <c r="D202" s="55" t="s">
        <v>74</v>
      </c>
      <c r="E202" s="58"/>
    </row>
    <row r="203">
      <c r="A203" s="53"/>
      <c r="B203" s="53"/>
      <c r="C203" s="54" t="s">
        <v>73</v>
      </c>
      <c r="D203" s="55" t="s">
        <v>74</v>
      </c>
      <c r="E203" s="54"/>
    </row>
    <row r="204">
      <c r="A204" s="53"/>
      <c r="B204" s="53"/>
      <c r="C204" s="54" t="s">
        <v>73</v>
      </c>
      <c r="D204" s="55" t="s">
        <v>74</v>
      </c>
      <c r="E204" s="54"/>
    </row>
    <row r="205">
      <c r="A205" s="53"/>
      <c r="B205" s="53"/>
      <c r="C205" s="54" t="s">
        <v>73</v>
      </c>
      <c r="D205" s="55" t="s">
        <v>74</v>
      </c>
      <c r="E205" s="54"/>
    </row>
    <row r="206">
      <c r="A206" s="53"/>
      <c r="B206" s="53"/>
      <c r="C206" s="54" t="s">
        <v>73</v>
      </c>
      <c r="D206" s="55" t="s">
        <v>74</v>
      </c>
      <c r="E206" s="54"/>
    </row>
    <row r="207">
      <c r="A207" s="53"/>
      <c r="B207" s="53"/>
      <c r="C207" s="54" t="s">
        <v>73</v>
      </c>
      <c r="D207" s="55" t="s">
        <v>74</v>
      </c>
      <c r="E207" s="58"/>
    </row>
    <row r="208">
      <c r="A208" s="48"/>
      <c r="B208" s="49"/>
      <c r="C208" s="49"/>
      <c r="D208" s="49"/>
      <c r="E208" s="49"/>
    </row>
    <row r="209">
      <c r="A209" s="51" t="s">
        <v>66</v>
      </c>
      <c r="B209" s="51" t="s">
        <v>67</v>
      </c>
      <c r="C209" s="49"/>
      <c r="D209" s="51" t="s">
        <v>69</v>
      </c>
      <c r="E209" s="51" t="s">
        <v>70</v>
      </c>
    </row>
    <row r="210">
      <c r="A210" s="53"/>
      <c r="B210" s="53"/>
      <c r="C210" s="54" t="s">
        <v>73</v>
      </c>
      <c r="D210" s="55" t="s">
        <v>74</v>
      </c>
      <c r="E210" s="54"/>
    </row>
    <row r="211">
      <c r="A211" s="53"/>
      <c r="B211" s="53"/>
      <c r="C211" s="54" t="s">
        <v>73</v>
      </c>
      <c r="D211" s="55" t="s">
        <v>74</v>
      </c>
      <c r="E211" s="54"/>
    </row>
    <row r="212">
      <c r="A212" s="56"/>
      <c r="B212" s="53"/>
      <c r="C212" s="54" t="s">
        <v>73</v>
      </c>
      <c r="D212" s="55" t="s">
        <v>74</v>
      </c>
      <c r="E212" s="54"/>
    </row>
    <row r="213">
      <c r="A213" s="53"/>
      <c r="B213" s="53"/>
      <c r="C213" s="54" t="s">
        <v>73</v>
      </c>
      <c r="D213" s="55" t="s">
        <v>74</v>
      </c>
      <c r="E213" s="54"/>
    </row>
    <row r="214">
      <c r="A214" s="53"/>
      <c r="B214" s="53"/>
      <c r="C214" s="54" t="s">
        <v>73</v>
      </c>
      <c r="D214" s="55" t="s">
        <v>74</v>
      </c>
      <c r="E214" s="58"/>
    </row>
    <row r="215">
      <c r="A215" s="53"/>
      <c r="B215" s="53"/>
      <c r="C215" s="54" t="s">
        <v>73</v>
      </c>
      <c r="D215" s="55" t="s">
        <v>74</v>
      </c>
      <c r="E215" s="54"/>
    </row>
    <row r="216">
      <c r="A216" s="53"/>
      <c r="B216" s="53"/>
      <c r="C216" s="54" t="s">
        <v>73</v>
      </c>
      <c r="D216" s="55" t="s">
        <v>74</v>
      </c>
      <c r="E216" s="54"/>
    </row>
    <row r="217">
      <c r="A217" s="53"/>
      <c r="B217" s="53"/>
      <c r="C217" s="54" t="s">
        <v>73</v>
      </c>
      <c r="D217" s="55" t="s">
        <v>74</v>
      </c>
      <c r="E217" s="54"/>
    </row>
    <row r="218">
      <c r="A218" s="53"/>
      <c r="B218" s="53"/>
      <c r="C218" s="54" t="s">
        <v>73</v>
      </c>
      <c r="D218" s="55" t="s">
        <v>74</v>
      </c>
      <c r="E218" s="54"/>
    </row>
    <row r="219">
      <c r="A219" s="53"/>
      <c r="B219" s="53"/>
      <c r="C219" s="54" t="s">
        <v>73</v>
      </c>
      <c r="D219" s="55" t="s">
        <v>74</v>
      </c>
      <c r="E219" s="58"/>
    </row>
    <row r="220">
      <c r="A220" s="48"/>
      <c r="B220" s="49"/>
      <c r="C220" s="49"/>
      <c r="D220" s="49"/>
      <c r="E220" s="49"/>
    </row>
    <row r="221">
      <c r="A221" s="51" t="s">
        <v>66</v>
      </c>
      <c r="B221" s="51" t="s">
        <v>67</v>
      </c>
      <c r="C221" s="49"/>
      <c r="D221" s="51" t="s">
        <v>69</v>
      </c>
      <c r="E221" s="51" t="s">
        <v>70</v>
      </c>
    </row>
    <row r="222">
      <c r="A222" s="53"/>
      <c r="B222" s="53"/>
      <c r="C222" s="54" t="s">
        <v>73</v>
      </c>
      <c r="D222" s="55" t="s">
        <v>74</v>
      </c>
      <c r="E222" s="54"/>
    </row>
    <row r="223">
      <c r="A223" s="53"/>
      <c r="B223" s="53"/>
      <c r="C223" s="54" t="s">
        <v>73</v>
      </c>
      <c r="D223" s="55" t="s">
        <v>74</v>
      </c>
      <c r="E223" s="54"/>
    </row>
    <row r="224">
      <c r="A224" s="56"/>
      <c r="B224" s="53"/>
      <c r="C224" s="54" t="s">
        <v>73</v>
      </c>
      <c r="D224" s="55" t="s">
        <v>74</v>
      </c>
      <c r="E224" s="54"/>
    </row>
    <row r="225">
      <c r="A225" s="53"/>
      <c r="B225" s="53"/>
      <c r="C225" s="54" t="s">
        <v>73</v>
      </c>
      <c r="D225" s="55" t="s">
        <v>74</v>
      </c>
      <c r="E225" s="54"/>
    </row>
    <row r="226">
      <c r="A226" s="53"/>
      <c r="B226" s="53"/>
      <c r="C226" s="54" t="s">
        <v>73</v>
      </c>
      <c r="D226" s="55" t="s">
        <v>74</v>
      </c>
      <c r="E226" s="58"/>
    </row>
    <row r="227">
      <c r="A227" s="53"/>
      <c r="B227" s="53"/>
      <c r="C227" s="54" t="s">
        <v>73</v>
      </c>
      <c r="D227" s="55" t="s">
        <v>74</v>
      </c>
      <c r="E227" s="54"/>
    </row>
    <row r="228">
      <c r="A228" s="53"/>
      <c r="B228" s="53"/>
      <c r="C228" s="54" t="s">
        <v>73</v>
      </c>
      <c r="D228" s="55" t="s">
        <v>74</v>
      </c>
      <c r="E228" s="54"/>
    </row>
    <row r="229">
      <c r="A229" s="53"/>
      <c r="B229" s="53"/>
      <c r="C229" s="54" t="s">
        <v>73</v>
      </c>
      <c r="D229" s="55" t="s">
        <v>74</v>
      </c>
      <c r="E229" s="54"/>
    </row>
    <row r="230">
      <c r="A230" s="53"/>
      <c r="B230" s="53"/>
      <c r="C230" s="54" t="s">
        <v>73</v>
      </c>
      <c r="D230" s="55" t="s">
        <v>74</v>
      </c>
      <c r="E230" s="54"/>
    </row>
    <row r="231">
      <c r="A231" s="53"/>
      <c r="B231" s="53"/>
      <c r="C231" s="54" t="s">
        <v>73</v>
      </c>
      <c r="D231" s="55" t="s">
        <v>74</v>
      </c>
      <c r="E231" s="58"/>
    </row>
    <row r="232">
      <c r="A232" s="48"/>
      <c r="B232" s="49"/>
      <c r="C232" s="49"/>
      <c r="D232" s="49"/>
      <c r="E232" s="49"/>
    </row>
    <row r="233">
      <c r="A233" s="51" t="s">
        <v>66</v>
      </c>
      <c r="B233" s="51" t="s">
        <v>67</v>
      </c>
      <c r="C233" s="49"/>
      <c r="D233" s="51" t="s">
        <v>69</v>
      </c>
      <c r="E233" s="51" t="s">
        <v>70</v>
      </c>
    </row>
    <row r="234">
      <c r="A234" s="53"/>
      <c r="B234" s="53"/>
      <c r="C234" s="54" t="s">
        <v>73</v>
      </c>
      <c r="D234" s="55" t="s">
        <v>74</v>
      </c>
      <c r="E234" s="54"/>
    </row>
    <row r="235">
      <c r="A235" s="53"/>
      <c r="B235" s="53"/>
      <c r="C235" s="54" t="s">
        <v>73</v>
      </c>
      <c r="D235" s="55" t="s">
        <v>74</v>
      </c>
      <c r="E235" s="54"/>
    </row>
    <row r="236">
      <c r="A236" s="56"/>
      <c r="B236" s="53"/>
      <c r="C236" s="54" t="s">
        <v>73</v>
      </c>
      <c r="D236" s="55" t="s">
        <v>74</v>
      </c>
      <c r="E236" s="54"/>
    </row>
    <row r="237">
      <c r="A237" s="53"/>
      <c r="B237" s="53"/>
      <c r="C237" s="54" t="s">
        <v>73</v>
      </c>
      <c r="D237" s="55" t="s">
        <v>74</v>
      </c>
      <c r="E237" s="54"/>
    </row>
    <row r="238">
      <c r="A238" s="53"/>
      <c r="B238" s="53"/>
      <c r="C238" s="54" t="s">
        <v>73</v>
      </c>
      <c r="D238" s="55" t="s">
        <v>74</v>
      </c>
      <c r="E238" s="58"/>
    </row>
    <row r="239">
      <c r="A239" s="53"/>
      <c r="B239" s="53"/>
      <c r="C239" s="54" t="s">
        <v>73</v>
      </c>
      <c r="D239" s="55" t="s">
        <v>74</v>
      </c>
      <c r="E239" s="54"/>
    </row>
    <row r="240">
      <c r="A240" s="53"/>
      <c r="B240" s="53"/>
      <c r="C240" s="54" t="s">
        <v>73</v>
      </c>
      <c r="D240" s="55" t="s">
        <v>74</v>
      </c>
      <c r="E240" s="54"/>
    </row>
    <row r="241">
      <c r="A241" s="53"/>
      <c r="B241" s="53"/>
      <c r="C241" s="54" t="s">
        <v>73</v>
      </c>
      <c r="D241" s="55" t="s">
        <v>74</v>
      </c>
      <c r="E241" s="54"/>
    </row>
    <row r="242">
      <c r="A242" s="53"/>
      <c r="B242" s="53"/>
      <c r="C242" s="54" t="s">
        <v>73</v>
      </c>
      <c r="D242" s="55" t="s">
        <v>74</v>
      </c>
      <c r="E242" s="54"/>
    </row>
    <row r="243">
      <c r="A243" s="53"/>
      <c r="B243" s="53"/>
      <c r="C243" s="54" t="s">
        <v>73</v>
      </c>
      <c r="D243" s="55" t="s">
        <v>74</v>
      </c>
      <c r="E243" s="58"/>
    </row>
    <row r="244">
      <c r="A244" s="48"/>
      <c r="B244" s="49"/>
      <c r="C244" s="49"/>
      <c r="D244" s="49"/>
      <c r="E244" s="49"/>
    </row>
    <row r="245">
      <c r="A245" s="51" t="s">
        <v>66</v>
      </c>
      <c r="B245" s="51" t="s">
        <v>67</v>
      </c>
      <c r="C245" s="49"/>
      <c r="D245" s="51" t="s">
        <v>69</v>
      </c>
      <c r="E245" s="51" t="s">
        <v>70</v>
      </c>
    </row>
    <row r="246">
      <c r="A246" s="53"/>
      <c r="B246" s="53"/>
      <c r="C246" s="54" t="s">
        <v>73</v>
      </c>
      <c r="D246" s="55" t="s">
        <v>74</v>
      </c>
      <c r="E246" s="54"/>
    </row>
    <row r="247">
      <c r="A247" s="53"/>
      <c r="B247" s="53"/>
      <c r="C247" s="54" t="s">
        <v>73</v>
      </c>
      <c r="D247" s="55" t="s">
        <v>74</v>
      </c>
      <c r="E247" s="54"/>
    </row>
    <row r="248">
      <c r="A248" s="53"/>
      <c r="B248" s="53"/>
      <c r="C248" s="54" t="s">
        <v>73</v>
      </c>
      <c r="D248" s="55" t="s">
        <v>74</v>
      </c>
      <c r="E248" s="54"/>
    </row>
    <row r="249">
      <c r="A249" s="53"/>
      <c r="B249" s="53"/>
      <c r="C249" s="54" t="s">
        <v>73</v>
      </c>
      <c r="D249" s="55" t="s">
        <v>74</v>
      </c>
      <c r="E249" s="54"/>
    </row>
    <row r="250">
      <c r="A250" s="53"/>
      <c r="B250" s="53"/>
      <c r="C250" s="54" t="s">
        <v>73</v>
      </c>
      <c r="D250" s="55" t="s">
        <v>74</v>
      </c>
      <c r="E250" s="58"/>
    </row>
    <row r="251">
      <c r="A251" s="53"/>
      <c r="B251" s="53"/>
      <c r="C251" s="54" t="s">
        <v>73</v>
      </c>
      <c r="D251" s="55" t="s">
        <v>74</v>
      </c>
      <c r="E251" s="54"/>
    </row>
    <row r="252">
      <c r="A252" s="53"/>
      <c r="B252" s="53"/>
      <c r="C252" s="54" t="s">
        <v>73</v>
      </c>
      <c r="D252" s="55" t="s">
        <v>74</v>
      </c>
      <c r="E252" s="54"/>
    </row>
    <row r="253">
      <c r="A253" s="53"/>
      <c r="B253" s="53"/>
      <c r="C253" s="54" t="s">
        <v>73</v>
      </c>
      <c r="D253" s="55" t="s">
        <v>74</v>
      </c>
      <c r="E253" s="54"/>
    </row>
    <row r="254">
      <c r="A254" s="53"/>
      <c r="B254" s="53"/>
      <c r="C254" s="54" t="s">
        <v>73</v>
      </c>
      <c r="D254" s="55" t="s">
        <v>74</v>
      </c>
      <c r="E254" s="54"/>
    </row>
    <row r="255">
      <c r="A255" s="53"/>
      <c r="B255" s="53"/>
      <c r="C255" s="54" t="s">
        <v>73</v>
      </c>
      <c r="D255" s="55" t="s">
        <v>74</v>
      </c>
      <c r="E255" s="58"/>
    </row>
    <row r="930">
      <c r="C930" s="64"/>
      <c r="D930" s="64"/>
    </row>
    <row r="931">
      <c r="C931" s="64"/>
      <c r="D931" s="64"/>
    </row>
    <row r="932">
      <c r="C932" s="64"/>
      <c r="D932" s="64"/>
    </row>
    <row r="933">
      <c r="C933" s="64"/>
      <c r="D933" s="64"/>
    </row>
    <row r="934">
      <c r="C934" s="64"/>
      <c r="D934" s="64"/>
    </row>
    <row r="935">
      <c r="C935" s="64"/>
      <c r="D935" s="64"/>
    </row>
    <row r="936">
      <c r="C936" s="64"/>
      <c r="D936" s="64"/>
    </row>
    <row r="937">
      <c r="C937" s="64"/>
      <c r="D937" s="64"/>
    </row>
    <row r="938">
      <c r="C938" s="64"/>
      <c r="D938" s="64"/>
    </row>
    <row r="939">
      <c r="C939" s="64"/>
      <c r="D939" s="64"/>
    </row>
    <row r="940">
      <c r="C940" s="64"/>
      <c r="D940" s="64"/>
    </row>
    <row r="941">
      <c r="C941" s="64"/>
      <c r="D941" s="64"/>
    </row>
    <row r="942">
      <c r="C942" s="64"/>
      <c r="D942" s="64"/>
    </row>
    <row r="943">
      <c r="C943" s="64"/>
      <c r="D943" s="64"/>
    </row>
    <row r="954">
      <c r="D954" s="64"/>
    </row>
  </sheetData>
  <conditionalFormatting sqref="C3:C12 C15:C25 C28:C39 C42:C51 C54:C66 C69:C75 C78:C87 C90:C99 C102:C111 C114:C123 C126:C135 C138:C147 C150:C159 C162:C171 C174:C183 C186:C195 C198:C207 C210:C219 C222:C231 C234:C243 C246:C255">
    <cfRule type="cellIs" dxfId="0" priority="1" operator="equal">
      <formula>"High"</formula>
    </cfRule>
  </conditionalFormatting>
  <conditionalFormatting sqref="C3:C12 C15:C25 C28:C39 C42:C51 C54:C66 C69:C75 C78:C87 C90:C99 C102:C111 C114:C123 C126:C135 C138:C147 C150:C159 C162:C171 C174:C183 C186:C195 C198:C207 C210:C219 C222:C231 C234:C243 C246:C255">
    <cfRule type="cellIs" dxfId="1" priority="2" operator="equal">
      <formula>"Medium"</formula>
    </cfRule>
  </conditionalFormatting>
  <conditionalFormatting sqref="C3:C12 C15:C25 C28:C39 C42:C51 C54:C66 C69:C75 C78:C87 C90:C99 C102:C111 C114:C123 C126:C135 C138:C147 C150:C159 C162:C171 C174:C183 C186:C195 C198:C207 C210:C219 C222:C231 C234:C243 C246:C255">
    <cfRule type="cellIs" dxfId="2" priority="3" operator="equal">
      <formula>"Low"</formula>
    </cfRule>
  </conditionalFormatting>
  <conditionalFormatting sqref="D3:D12 D15:D25 D28:D39 D42:D51 D54:D66 D69:D75 D78:D87 D90:D99 D102:D111 D114:D123 D126:D135 D138:D147 D150:D159 D162:D171 D174:D183 D186:D195 D198:D207 D210:D219 D222:D231 D234:D243 D246:D255">
    <cfRule type="cellIs" dxfId="3" priority="4" operator="equal">
      <formula>"Open"</formula>
    </cfRule>
  </conditionalFormatting>
  <conditionalFormatting sqref="D3:D12 D15:D25 D28:D39 D42:D51 D54:D66 D69:D75 D78:D87 D90:D99 D102:D111 D114:D123 D126:D135 D138:D147 D150:D159 D162:D171 D174:D183 D186:D195 D198:D207 D210:D219 D222:D231 D234:D243 D246:D255">
    <cfRule type="cellIs" dxfId="4" priority="5" operator="equal">
      <formula>"In Progress"</formula>
    </cfRule>
  </conditionalFormatting>
  <conditionalFormatting sqref="D3:D12 D15:D25 D28:D39 D42:D51 D54:D66 D69:D75 D78:D87 D90:D99 D102:D111 D114:D123 D126:D135 D138:D147 D150:D159 D162:D171 D174:D183 D186:D195 D198:D207 D210:D219 D222:D231 D234:D243 D246:D255">
    <cfRule type="cellIs" dxfId="5" priority="6" operator="equal">
      <formula>"Completed"</formula>
    </cfRule>
  </conditionalFormatting>
  <conditionalFormatting sqref="D3:D12 D15:D25 D28:D39 D42:D51 D54:D66 D69:D75 D78:D87 D90:D99 D102:D111 D114:D123 D126:D135 D138:D147 D150:D159 D162:D171 D174:D183 D186:D195 D198:D207 D210:D219 D222:D231 D234:D243 D246:D255">
    <cfRule type="cellIs" dxfId="6" priority="7" operator="equal">
      <formula>"Blocked"</formula>
    </cfRule>
  </conditionalFormatting>
  <dataValidations>
    <dataValidation type="list" allowBlank="1" sqref="D3:D12 D15:D25 D28:D39 D42:D51 D54:D66 D69:D75 D78:D87 D90:D99 D102:D111 D114:D123 D126:D135 D138:D147 D150:D159 D162:D171 D174:D183 D186:D195 D198:D207 D210:D219 D222:D231 D234:D243 D246:D255">
      <formula1>"Open,In Progress,Completed,Blocked"</formula1>
    </dataValidation>
    <dataValidation type="list" allowBlank="1" sqref="C3:C12 C15:C25 C28:C39 C42:C51 C54:C66 C69:C75 C78:C87 C90:C99 C102:C111 C114:C123 C126:C135 C138:C147 C150:C159 C162:C171 C174:C183 C186:C195 C198:C207 C210:C219 C222:C231 C234:C243 C246:C255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4.38"/>
    <col customWidth="1" min="3" max="3" width="21.38"/>
    <col customWidth="1" min="4" max="4" width="119.63"/>
    <col customWidth="1" min="5" max="5" width="38.13"/>
    <col customWidth="1" min="6" max="6" width="34.38"/>
    <col customWidth="1" min="7" max="7" width="43.88"/>
    <col customWidth="1" min="8" max="8" width="56.88"/>
    <col customWidth="1" min="9" max="9" width="66.63"/>
    <col customWidth="1" min="20" max="20" width="69.88"/>
  </cols>
  <sheetData>
    <row r="1">
      <c r="A1" s="65" t="s">
        <v>150</v>
      </c>
      <c r="B1" s="66"/>
      <c r="C1" s="66"/>
      <c r="D1" s="66"/>
      <c r="E1" s="67"/>
    </row>
    <row r="2">
      <c r="A2" s="65" t="s">
        <v>151</v>
      </c>
      <c r="B2" s="66"/>
      <c r="C2" s="66"/>
      <c r="D2" s="66"/>
      <c r="E2" s="67"/>
    </row>
    <row r="3">
      <c r="A3" s="68" t="s">
        <v>152</v>
      </c>
      <c r="B3" s="69"/>
      <c r="C3" s="70" t="s">
        <v>153</v>
      </c>
      <c r="D3" s="70" t="s">
        <v>154</v>
      </c>
      <c r="E3" s="71" t="s">
        <v>155</v>
      </c>
      <c r="G3" s="72" t="s">
        <v>156</v>
      </c>
    </row>
    <row r="4" ht="78.75" customHeight="1">
      <c r="A4" s="73" t="s">
        <v>157</v>
      </c>
      <c r="B4" s="74" t="s">
        <v>158</v>
      </c>
      <c r="C4" s="75" t="s">
        <v>159</v>
      </c>
      <c r="D4" s="76" t="s">
        <v>160</v>
      </c>
      <c r="E4" s="77"/>
      <c r="G4" s="78" t="s">
        <v>161</v>
      </c>
      <c r="I4" s="79"/>
    </row>
    <row r="5">
      <c r="A5" s="80" t="s">
        <v>162</v>
      </c>
      <c r="B5" s="81" t="s">
        <v>163</v>
      </c>
      <c r="C5" s="82" t="s">
        <v>164</v>
      </c>
      <c r="D5" s="83" t="s">
        <v>165</v>
      </c>
      <c r="E5" s="84" t="s">
        <v>166</v>
      </c>
    </row>
    <row r="6">
      <c r="A6" s="85"/>
      <c r="B6" s="86"/>
      <c r="C6" s="85"/>
      <c r="D6" s="86"/>
      <c r="E6" s="87" t="s">
        <v>167</v>
      </c>
    </row>
    <row r="7" ht="56.25" customHeight="1">
      <c r="A7" s="88"/>
      <c r="B7" s="89"/>
      <c r="C7" s="88"/>
      <c r="D7" s="89"/>
      <c r="E7" s="90" t="s">
        <v>168</v>
      </c>
      <c r="G7" s="79"/>
    </row>
    <row r="8">
      <c r="A8" s="73" t="s">
        <v>169</v>
      </c>
      <c r="B8" s="74" t="s">
        <v>163</v>
      </c>
      <c r="C8" s="75" t="s">
        <v>164</v>
      </c>
      <c r="D8" s="91" t="s">
        <v>170</v>
      </c>
      <c r="E8" s="92" t="s">
        <v>171</v>
      </c>
      <c r="G8" s="79"/>
    </row>
    <row r="9">
      <c r="A9" s="80" t="s">
        <v>172</v>
      </c>
      <c r="B9" s="81" t="s">
        <v>125</v>
      </c>
      <c r="C9" s="82" t="s">
        <v>159</v>
      </c>
      <c r="D9" s="93" t="s">
        <v>173</v>
      </c>
      <c r="E9" s="94" t="s">
        <v>174</v>
      </c>
      <c r="G9" s="79"/>
    </row>
    <row r="10" ht="43.5" customHeight="1">
      <c r="A10" s="88"/>
      <c r="B10" s="89"/>
      <c r="C10" s="88"/>
      <c r="D10" s="89"/>
      <c r="E10" s="94"/>
      <c r="G10" s="79"/>
    </row>
    <row r="11" ht="24.0" customHeight="1">
      <c r="A11" s="80" t="s">
        <v>175</v>
      </c>
      <c r="B11" s="81"/>
      <c r="C11" s="82" t="s">
        <v>176</v>
      </c>
      <c r="D11" s="95" t="s">
        <v>177</v>
      </c>
      <c r="E11" s="96" t="s">
        <v>178</v>
      </c>
      <c r="G11" s="79"/>
    </row>
    <row r="12" ht="18.0" customHeight="1">
      <c r="A12" s="85"/>
      <c r="B12" s="86"/>
      <c r="C12" s="85"/>
      <c r="D12" s="86"/>
      <c r="E12" s="97"/>
      <c r="G12" s="79"/>
    </row>
    <row r="13" ht="18.0" customHeight="1">
      <c r="A13" s="88"/>
      <c r="B13" s="89"/>
      <c r="C13" s="88"/>
      <c r="D13" s="89"/>
      <c r="E13" s="98"/>
      <c r="G13" s="79"/>
    </row>
    <row r="14">
      <c r="A14" s="80" t="s">
        <v>179</v>
      </c>
      <c r="B14" s="81"/>
      <c r="C14" s="82" t="s">
        <v>180</v>
      </c>
      <c r="D14" s="99" t="s">
        <v>181</v>
      </c>
      <c r="E14" s="87" t="s">
        <v>174</v>
      </c>
    </row>
    <row r="15" ht="43.5" customHeight="1">
      <c r="A15" s="88"/>
      <c r="B15" s="89"/>
      <c r="C15" s="88"/>
      <c r="D15" s="88"/>
      <c r="E15" s="100"/>
    </row>
    <row r="16">
      <c r="A16" s="101" t="s">
        <v>182</v>
      </c>
      <c r="B16" s="74" t="s">
        <v>183</v>
      </c>
      <c r="C16" s="102" t="s">
        <v>159</v>
      </c>
      <c r="D16" s="103" t="s">
        <v>184</v>
      </c>
      <c r="E16" s="104" t="s">
        <v>185</v>
      </c>
    </row>
    <row r="17">
      <c r="A17" s="73" t="s">
        <v>186</v>
      </c>
      <c r="B17" s="74" t="s">
        <v>187</v>
      </c>
      <c r="C17" s="75" t="s">
        <v>188</v>
      </c>
      <c r="D17" s="105" t="s">
        <v>189</v>
      </c>
      <c r="E17" s="106" t="s">
        <v>186</v>
      </c>
    </row>
    <row r="18">
      <c r="A18" s="73" t="s">
        <v>190</v>
      </c>
      <c r="B18" s="74" t="s">
        <v>187</v>
      </c>
      <c r="C18" s="102" t="s">
        <v>188</v>
      </c>
      <c r="D18" s="107" t="s">
        <v>191</v>
      </c>
      <c r="E18" s="108"/>
    </row>
    <row r="19">
      <c r="A19" s="73" t="s">
        <v>192</v>
      </c>
      <c r="B19" s="74" t="s">
        <v>163</v>
      </c>
      <c r="C19" s="102" t="s">
        <v>159</v>
      </c>
      <c r="D19" s="107" t="s">
        <v>193</v>
      </c>
      <c r="E19" s="106" t="s">
        <v>194</v>
      </c>
      <c r="G19" s="109"/>
      <c r="H19" s="109"/>
      <c r="J19" s="109"/>
    </row>
    <row r="20">
      <c r="G20" s="79"/>
    </row>
    <row r="21">
      <c r="E21" s="109"/>
      <c r="G21" s="110"/>
    </row>
    <row r="22">
      <c r="A22" s="111" t="s">
        <v>195</v>
      </c>
      <c r="E22" s="79"/>
      <c r="G22" s="79"/>
      <c r="J22" s="79"/>
    </row>
    <row r="23">
      <c r="E23" s="79"/>
      <c r="G23" s="79"/>
      <c r="J23" s="79"/>
    </row>
    <row r="24">
      <c r="E24" s="79"/>
      <c r="G24" s="79"/>
      <c r="J24" s="79"/>
    </row>
    <row r="25">
      <c r="A25" s="112" t="s">
        <v>196</v>
      </c>
      <c r="E25" s="79"/>
      <c r="G25" s="79"/>
      <c r="J25" s="79"/>
    </row>
    <row r="26">
      <c r="A26" s="113" t="s">
        <v>197</v>
      </c>
      <c r="C26" s="114" t="s">
        <v>198</v>
      </c>
      <c r="D26" s="113" t="s">
        <v>70</v>
      </c>
      <c r="E26" s="79"/>
      <c r="G26" s="79"/>
      <c r="J26" s="79"/>
      <c r="T26" s="109"/>
    </row>
    <row r="27">
      <c r="A27" s="115" t="s">
        <v>199</v>
      </c>
      <c r="C27" s="116" t="b">
        <v>0</v>
      </c>
      <c r="D27" s="117"/>
      <c r="E27" s="79"/>
      <c r="G27" s="79"/>
      <c r="J27" s="79"/>
    </row>
    <row r="28">
      <c r="A28" s="115" t="s">
        <v>200</v>
      </c>
      <c r="C28" s="116" t="b">
        <v>0</v>
      </c>
      <c r="D28" s="117"/>
      <c r="E28" s="79"/>
      <c r="G28" s="79"/>
    </row>
    <row r="29">
      <c r="A29" s="115" t="s">
        <v>201</v>
      </c>
      <c r="C29" s="116" t="b">
        <v>0</v>
      </c>
      <c r="D29" s="116"/>
      <c r="E29" s="79"/>
    </row>
    <row r="30">
      <c r="A30" s="113" t="s">
        <v>202</v>
      </c>
      <c r="C30" s="118"/>
      <c r="D30" s="119"/>
      <c r="E30" s="79"/>
      <c r="G30" s="109"/>
      <c r="T30" s="79"/>
    </row>
    <row r="31">
      <c r="A31" s="120" t="s">
        <v>203</v>
      </c>
      <c r="C31" s="116" t="b">
        <v>0</v>
      </c>
      <c r="D31" s="121" t="s">
        <v>204</v>
      </c>
      <c r="E31" s="115"/>
      <c r="F31" s="115"/>
      <c r="T31" s="79"/>
    </row>
    <row r="32">
      <c r="A32" s="115" t="s">
        <v>205</v>
      </c>
      <c r="C32" s="116" t="b">
        <v>0</v>
      </c>
      <c r="D32" s="116"/>
    </row>
    <row r="33">
      <c r="A33" s="115" t="s">
        <v>206</v>
      </c>
      <c r="C33" s="116" t="b">
        <v>0</v>
      </c>
      <c r="D33" s="122" t="s">
        <v>207</v>
      </c>
    </row>
    <row r="34">
      <c r="A34" s="113" t="s">
        <v>208</v>
      </c>
      <c r="C34" s="118"/>
      <c r="D34" s="119"/>
    </row>
    <row r="35">
      <c r="A35" s="115" t="s">
        <v>209</v>
      </c>
      <c r="C35" s="116" t="b">
        <v>0</v>
      </c>
      <c r="D35" s="123"/>
      <c r="E35" s="60"/>
      <c r="F35" s="60"/>
      <c r="G35" s="60"/>
    </row>
    <row r="36">
      <c r="A36" s="115" t="s">
        <v>210</v>
      </c>
      <c r="C36" s="116" t="b">
        <v>0</v>
      </c>
      <c r="D36" s="124"/>
      <c r="E36" s="60"/>
      <c r="F36" s="60"/>
      <c r="G36" s="60"/>
    </row>
    <row r="37">
      <c r="A37" s="123" t="s">
        <v>211</v>
      </c>
      <c r="C37" s="116" t="b">
        <v>0</v>
      </c>
      <c r="D37" s="125" t="s">
        <v>212</v>
      </c>
      <c r="E37" s="60"/>
      <c r="F37" s="60"/>
      <c r="G37" s="60"/>
    </row>
    <row r="38">
      <c r="A38" s="120" t="s">
        <v>203</v>
      </c>
      <c r="C38" s="116" t="b">
        <v>0</v>
      </c>
      <c r="D38" s="121" t="s">
        <v>213</v>
      </c>
      <c r="E38" s="60"/>
      <c r="F38" s="60"/>
      <c r="G38" s="60"/>
      <c r="H38" s="59"/>
      <c r="I38" s="59"/>
      <c r="J38" s="59"/>
    </row>
    <row r="39">
      <c r="A39" s="123" t="s">
        <v>214</v>
      </c>
      <c r="C39" s="116" t="b">
        <v>0</v>
      </c>
      <c r="D39" s="125" t="s">
        <v>168</v>
      </c>
      <c r="E39" s="60"/>
      <c r="F39" s="60"/>
      <c r="G39" s="60"/>
      <c r="H39" s="59"/>
      <c r="I39" s="59"/>
      <c r="J39" s="59"/>
    </row>
    <row r="40">
      <c r="A40" s="115" t="s">
        <v>215</v>
      </c>
      <c r="C40" s="116" t="b">
        <v>0</v>
      </c>
      <c r="D40" s="123"/>
      <c r="E40" s="60"/>
      <c r="F40" s="60"/>
      <c r="G40" s="60"/>
      <c r="H40" s="59"/>
      <c r="I40" s="59"/>
      <c r="J40" s="59"/>
    </row>
    <row r="41">
      <c r="A41" s="126"/>
      <c r="D41" s="119"/>
      <c r="E41" s="60"/>
      <c r="F41" s="60"/>
      <c r="G41" s="60"/>
      <c r="H41" s="59"/>
      <c r="I41" s="59"/>
      <c r="J41" s="59"/>
    </row>
    <row r="42">
      <c r="A42" s="127"/>
      <c r="B42" s="127"/>
      <c r="C42" s="127"/>
      <c r="D42" s="127"/>
      <c r="E42" s="59"/>
      <c r="F42" s="59"/>
      <c r="G42" s="59"/>
      <c r="H42" s="59"/>
      <c r="I42" s="59"/>
      <c r="J42" s="59"/>
    </row>
    <row r="43">
      <c r="A43" s="128" t="s">
        <v>216</v>
      </c>
      <c r="E43" s="59"/>
      <c r="F43" s="59"/>
      <c r="G43" s="59"/>
      <c r="H43" s="59"/>
      <c r="I43" s="59"/>
      <c r="J43" s="59"/>
    </row>
    <row r="44">
      <c r="A44" s="129" t="s">
        <v>197</v>
      </c>
      <c r="C44" s="130" t="s">
        <v>198</v>
      </c>
      <c r="D44" s="129" t="s">
        <v>70</v>
      </c>
      <c r="E44" s="60"/>
      <c r="F44" s="59"/>
      <c r="G44" s="59"/>
      <c r="H44" s="59"/>
      <c r="I44" s="59"/>
      <c r="J44" s="59"/>
    </row>
    <row r="45">
      <c r="A45" s="115" t="s">
        <v>217</v>
      </c>
      <c r="C45" s="116" t="b">
        <v>0</v>
      </c>
      <c r="D45" s="131" t="s">
        <v>218</v>
      </c>
      <c r="E45" s="132"/>
      <c r="F45" s="59"/>
      <c r="G45" s="59"/>
      <c r="H45" s="59"/>
      <c r="I45" s="59"/>
      <c r="J45" s="59"/>
      <c r="K45" s="59"/>
    </row>
    <row r="46">
      <c r="A46" s="115" t="s">
        <v>219</v>
      </c>
      <c r="C46" s="116" t="b">
        <v>0</v>
      </c>
      <c r="D46" s="133"/>
      <c r="E46" s="132"/>
      <c r="F46" s="59"/>
      <c r="G46" s="59"/>
      <c r="H46" s="59"/>
      <c r="I46" s="59"/>
      <c r="J46" s="59"/>
      <c r="K46" s="59"/>
      <c r="L46" s="59"/>
      <c r="M46" s="59"/>
    </row>
    <row r="47">
      <c r="A47" s="115" t="s">
        <v>220</v>
      </c>
      <c r="C47" s="116" t="b">
        <v>0</v>
      </c>
      <c r="D47" s="134" t="s">
        <v>221</v>
      </c>
      <c r="E47" s="135"/>
      <c r="F47" s="59"/>
      <c r="G47" s="59"/>
      <c r="H47" s="59"/>
      <c r="I47" s="59"/>
      <c r="J47" s="59"/>
      <c r="K47" s="59"/>
      <c r="L47" s="59"/>
      <c r="M47" s="59"/>
    </row>
    <row r="48">
      <c r="A48" s="136" t="s">
        <v>222</v>
      </c>
      <c r="C48" s="130" t="s">
        <v>198</v>
      </c>
      <c r="D48" s="136" t="s">
        <v>70</v>
      </c>
      <c r="E48" s="59"/>
      <c r="F48" s="59"/>
      <c r="G48" s="59"/>
      <c r="H48" s="59"/>
      <c r="I48" s="59"/>
      <c r="J48" s="59"/>
      <c r="K48" s="59"/>
      <c r="L48" s="59"/>
      <c r="M48" s="59"/>
    </row>
    <row r="49">
      <c r="A49" s="123" t="s">
        <v>223</v>
      </c>
      <c r="C49" s="116" t="b">
        <v>0</v>
      </c>
      <c r="D49" s="127"/>
      <c r="E49" s="132"/>
      <c r="F49" s="59"/>
      <c r="G49" s="59"/>
      <c r="H49" s="59"/>
      <c r="I49" s="59"/>
      <c r="J49" s="59"/>
      <c r="K49" s="59"/>
      <c r="L49" s="59"/>
      <c r="M49" s="59"/>
    </row>
    <row r="50">
      <c r="A50" s="115" t="s">
        <v>224</v>
      </c>
      <c r="C50" s="116" t="b">
        <v>0</v>
      </c>
      <c r="D50" s="127"/>
      <c r="E50" s="59"/>
      <c r="F50" s="59"/>
      <c r="G50" s="59"/>
      <c r="H50" s="59"/>
      <c r="I50" s="59"/>
      <c r="J50" s="59"/>
      <c r="K50" s="59"/>
      <c r="L50" s="59"/>
      <c r="M50" s="59"/>
    </row>
    <row r="51">
      <c r="A51" s="123" t="s">
        <v>225</v>
      </c>
      <c r="C51" s="116" t="b">
        <v>0</v>
      </c>
      <c r="D51" s="127"/>
      <c r="E51" s="59"/>
      <c r="F51" s="59"/>
      <c r="G51" s="59"/>
      <c r="H51" s="59"/>
      <c r="I51" s="59"/>
      <c r="J51" s="59"/>
      <c r="K51" s="59"/>
    </row>
    <row r="52">
      <c r="A52" s="123" t="s">
        <v>226</v>
      </c>
      <c r="C52" s="116" t="b">
        <v>0</v>
      </c>
      <c r="D52" s="127"/>
      <c r="E52" s="59"/>
      <c r="F52" s="59"/>
      <c r="G52" s="59"/>
      <c r="H52" s="59"/>
      <c r="I52" s="59"/>
      <c r="J52" s="59"/>
      <c r="K52" s="59"/>
    </row>
    <row r="53">
      <c r="A53" s="115" t="s">
        <v>227</v>
      </c>
      <c r="C53" s="116" t="b">
        <v>0</v>
      </c>
      <c r="D53" s="127"/>
      <c r="E53" s="59"/>
      <c r="F53" s="59"/>
      <c r="G53" s="59"/>
      <c r="H53" s="59"/>
      <c r="I53" s="59"/>
      <c r="J53" s="59"/>
      <c r="K53" s="59"/>
    </row>
    <row r="54">
      <c r="A54" s="123" t="s">
        <v>228</v>
      </c>
      <c r="B54" s="127"/>
      <c r="C54" s="116" t="b">
        <v>0</v>
      </c>
      <c r="D54" s="127"/>
      <c r="E54" s="59"/>
      <c r="F54" s="59"/>
      <c r="G54" s="59"/>
      <c r="H54" s="59"/>
      <c r="I54" s="59"/>
      <c r="J54" s="59"/>
      <c r="K54" s="59"/>
    </row>
    <row r="55">
      <c r="A55" s="115" t="s">
        <v>229</v>
      </c>
      <c r="C55" s="116" t="b">
        <v>0</v>
      </c>
      <c r="D55" s="123"/>
      <c r="E55" s="59"/>
      <c r="F55" s="59"/>
      <c r="G55" s="59"/>
      <c r="H55" s="59"/>
      <c r="I55" s="59"/>
      <c r="J55" s="59"/>
      <c r="K55" s="59"/>
    </row>
    <row r="56">
      <c r="A56" s="115" t="s">
        <v>230</v>
      </c>
      <c r="C56" s="116" t="b">
        <v>0</v>
      </c>
      <c r="D56" s="127"/>
      <c r="E56" s="59"/>
      <c r="F56" s="59"/>
      <c r="G56" s="59"/>
      <c r="H56" s="59"/>
      <c r="I56" s="59"/>
      <c r="J56" s="59"/>
      <c r="K56" s="59"/>
    </row>
    <row r="57">
      <c r="A57" s="115" t="s">
        <v>231</v>
      </c>
      <c r="C57" s="116" t="b">
        <v>0</v>
      </c>
      <c r="D57" s="127"/>
      <c r="E57" s="59"/>
      <c r="F57" s="59"/>
      <c r="G57" s="59"/>
      <c r="H57" s="59"/>
      <c r="I57" s="59"/>
      <c r="J57" s="59"/>
      <c r="K57" s="59"/>
    </row>
    <row r="58">
      <c r="A58" s="115" t="s">
        <v>232</v>
      </c>
      <c r="C58" s="116" t="b">
        <v>0</v>
      </c>
      <c r="D58" s="127"/>
      <c r="E58" s="59"/>
      <c r="F58" s="59"/>
      <c r="G58" s="59"/>
      <c r="H58" s="59"/>
      <c r="I58" s="59"/>
      <c r="J58" s="59"/>
      <c r="K58" s="59"/>
    </row>
    <row r="59">
      <c r="A59" s="115" t="s">
        <v>233</v>
      </c>
      <c r="C59" s="116" t="b">
        <v>0</v>
      </c>
      <c r="D59" s="127"/>
      <c r="E59" s="59"/>
      <c r="F59" s="59"/>
      <c r="G59" s="59"/>
      <c r="H59" s="59"/>
      <c r="I59" s="59"/>
      <c r="J59" s="59"/>
      <c r="K59" s="59"/>
    </row>
    <row r="60">
      <c r="A60" s="136" t="s">
        <v>234</v>
      </c>
      <c r="C60" s="130" t="s">
        <v>198</v>
      </c>
      <c r="D60" s="136" t="s">
        <v>70</v>
      </c>
      <c r="E60" s="59"/>
      <c r="F60" s="59"/>
      <c r="G60" s="59"/>
      <c r="H60" s="59"/>
      <c r="I60" s="59"/>
      <c r="J60" s="59"/>
      <c r="K60" s="59"/>
    </row>
    <row r="61">
      <c r="A61" s="115" t="s">
        <v>235</v>
      </c>
      <c r="C61" s="116" t="b">
        <v>0</v>
      </c>
      <c r="D61" s="127"/>
      <c r="E61" s="59"/>
      <c r="F61" s="59"/>
      <c r="G61" s="59"/>
      <c r="H61" s="59"/>
      <c r="I61" s="59"/>
      <c r="J61" s="59"/>
      <c r="K61" s="59"/>
    </row>
    <row r="62">
      <c r="A62" s="115" t="s">
        <v>236</v>
      </c>
      <c r="C62" s="116" t="b">
        <v>0</v>
      </c>
      <c r="D62" s="127"/>
      <c r="E62" s="59"/>
      <c r="F62" s="59"/>
      <c r="G62" s="59"/>
      <c r="H62" s="59"/>
      <c r="I62" s="59"/>
      <c r="J62" s="59"/>
      <c r="K62" s="59"/>
    </row>
    <row r="63">
      <c r="A63" s="115" t="s">
        <v>237</v>
      </c>
      <c r="C63" s="116" t="b">
        <v>0</v>
      </c>
      <c r="D63" s="127"/>
      <c r="E63" s="59"/>
      <c r="F63" s="59"/>
      <c r="G63" s="59"/>
      <c r="H63" s="59"/>
      <c r="I63" s="59"/>
      <c r="J63" s="59"/>
      <c r="K63" s="59"/>
    </row>
    <row r="64">
      <c r="A64" s="115" t="s">
        <v>238</v>
      </c>
      <c r="C64" s="116" t="b">
        <v>0</v>
      </c>
      <c r="D64" s="127"/>
      <c r="E64" s="59"/>
      <c r="F64" s="59"/>
      <c r="G64" s="59"/>
      <c r="H64" s="59"/>
      <c r="I64" s="59"/>
      <c r="J64" s="59"/>
      <c r="K64" s="59"/>
    </row>
    <row r="65">
      <c r="A65" s="137" t="s">
        <v>239</v>
      </c>
      <c r="C65" s="116" t="b">
        <v>0</v>
      </c>
      <c r="D65" s="127"/>
      <c r="E65" s="59"/>
      <c r="F65" s="59"/>
      <c r="G65" s="59"/>
      <c r="H65" s="59"/>
      <c r="I65" s="59"/>
      <c r="J65" s="59"/>
      <c r="K65" s="59"/>
    </row>
    <row r="66">
      <c r="A66" s="115" t="s">
        <v>240</v>
      </c>
      <c r="C66" s="116" t="b">
        <v>0</v>
      </c>
      <c r="D66" s="127"/>
      <c r="E66" s="59"/>
      <c r="F66" s="59"/>
      <c r="G66" s="59"/>
      <c r="H66" s="59"/>
      <c r="I66" s="59"/>
      <c r="J66" s="59"/>
      <c r="K66" s="59"/>
    </row>
    <row r="67">
      <c r="A67" s="115" t="s">
        <v>241</v>
      </c>
      <c r="C67" s="116" t="b">
        <v>0</v>
      </c>
      <c r="D67" s="127"/>
      <c r="E67" s="59"/>
      <c r="F67" s="59"/>
      <c r="G67" s="59"/>
      <c r="H67" s="59"/>
      <c r="I67" s="59"/>
      <c r="J67" s="59"/>
      <c r="K67" s="59"/>
    </row>
    <row r="68">
      <c r="A68" s="115" t="s">
        <v>242</v>
      </c>
      <c r="C68" s="116" t="b">
        <v>0</v>
      </c>
      <c r="D68" s="127"/>
      <c r="E68" s="59"/>
      <c r="F68" s="59"/>
      <c r="G68" s="59"/>
      <c r="H68" s="59"/>
      <c r="I68" s="59"/>
      <c r="J68" s="59"/>
      <c r="K68" s="59"/>
    </row>
    <row r="69">
      <c r="A69" s="136" t="s">
        <v>243</v>
      </c>
      <c r="C69" s="130" t="s">
        <v>198</v>
      </c>
      <c r="D69" s="136" t="s">
        <v>70</v>
      </c>
      <c r="E69" s="59"/>
      <c r="F69" s="59"/>
      <c r="G69" s="59"/>
      <c r="H69" s="59"/>
      <c r="I69" s="59"/>
      <c r="J69" s="59"/>
      <c r="K69" s="59"/>
    </row>
    <row r="70">
      <c r="A70" s="115" t="s">
        <v>244</v>
      </c>
      <c r="C70" s="116" t="b">
        <v>0</v>
      </c>
      <c r="D70" s="127"/>
      <c r="E70" s="59"/>
      <c r="F70" s="59"/>
      <c r="G70" s="59"/>
      <c r="H70" s="59"/>
      <c r="I70" s="59"/>
      <c r="J70" s="59"/>
      <c r="K70" s="59"/>
    </row>
    <row r="71">
      <c r="A71" s="115" t="s">
        <v>245</v>
      </c>
      <c r="C71" s="116" t="b">
        <v>0</v>
      </c>
      <c r="D71" s="127"/>
      <c r="E71" s="59"/>
      <c r="F71" s="59"/>
      <c r="G71" s="59"/>
      <c r="H71" s="59"/>
      <c r="I71" s="59"/>
      <c r="J71" s="59"/>
      <c r="K71" s="59"/>
    </row>
    <row r="72">
      <c r="A72" s="115" t="s">
        <v>246</v>
      </c>
      <c r="C72" s="116" t="b">
        <v>0</v>
      </c>
      <c r="D72" s="127"/>
      <c r="E72" s="59"/>
      <c r="F72" s="59"/>
      <c r="G72" s="59"/>
      <c r="H72" s="59"/>
      <c r="I72" s="59"/>
      <c r="J72" s="59"/>
      <c r="K72" s="59"/>
    </row>
    <row r="73">
      <c r="A73" s="115" t="s">
        <v>247</v>
      </c>
      <c r="C73" s="116" t="b">
        <v>0</v>
      </c>
      <c r="D73" s="127"/>
      <c r="E73" s="59"/>
      <c r="F73" s="59"/>
      <c r="G73" s="59"/>
      <c r="H73" s="59"/>
      <c r="I73" s="59"/>
      <c r="J73" s="59"/>
      <c r="K73" s="59"/>
    </row>
    <row r="74">
      <c r="A74" s="115" t="s">
        <v>248</v>
      </c>
      <c r="C74" s="116" t="b">
        <v>0</v>
      </c>
      <c r="D74" s="127"/>
      <c r="E74" s="59"/>
      <c r="F74" s="59"/>
      <c r="G74" s="59"/>
      <c r="H74" s="59"/>
      <c r="I74" s="59"/>
      <c r="J74" s="59"/>
      <c r="K74" s="59"/>
    </row>
    <row r="75">
      <c r="A75" s="115" t="s">
        <v>249</v>
      </c>
      <c r="C75" s="116" t="b">
        <v>0</v>
      </c>
      <c r="D75" s="127"/>
      <c r="E75" s="59"/>
      <c r="F75" s="59"/>
      <c r="G75" s="59"/>
      <c r="H75" s="59"/>
      <c r="I75" s="59"/>
      <c r="J75" s="59"/>
      <c r="K75" s="59"/>
    </row>
    <row r="76">
      <c r="A76" s="115" t="s">
        <v>250</v>
      </c>
      <c r="C76" s="116" t="b">
        <v>0</v>
      </c>
      <c r="D76" s="127"/>
      <c r="E76" s="59"/>
      <c r="F76" s="59"/>
      <c r="G76" s="59"/>
      <c r="H76" s="59"/>
      <c r="I76" s="59"/>
      <c r="J76" s="59"/>
      <c r="K76" s="59"/>
    </row>
    <row r="77">
      <c r="A77" s="136" t="s">
        <v>251</v>
      </c>
      <c r="C77" s="130" t="s">
        <v>198</v>
      </c>
      <c r="D77" s="136" t="s">
        <v>70</v>
      </c>
      <c r="E77" s="59"/>
      <c r="F77" s="59"/>
      <c r="G77" s="59"/>
      <c r="H77" s="59"/>
      <c r="I77" s="59"/>
      <c r="J77" s="59"/>
      <c r="K77" s="59"/>
    </row>
    <row r="78">
      <c r="A78" s="115" t="s">
        <v>252</v>
      </c>
      <c r="C78" s="116" t="b">
        <v>0</v>
      </c>
      <c r="D78" s="127"/>
      <c r="E78" s="59"/>
      <c r="F78" s="59"/>
      <c r="G78" s="59"/>
      <c r="H78" s="59"/>
      <c r="I78" s="59"/>
      <c r="J78" s="59"/>
      <c r="K78" s="59"/>
    </row>
    <row r="79">
      <c r="A79" s="115" t="s">
        <v>253</v>
      </c>
      <c r="C79" s="116" t="b">
        <v>0</v>
      </c>
      <c r="D79" s="127"/>
      <c r="E79" s="59"/>
      <c r="F79" s="59"/>
      <c r="G79" s="59"/>
      <c r="H79" s="59"/>
      <c r="I79" s="59"/>
      <c r="J79" s="59"/>
      <c r="K79" s="59"/>
    </row>
    <row r="80">
      <c r="A80" s="115" t="s">
        <v>254</v>
      </c>
      <c r="C80" s="116" t="b">
        <v>0</v>
      </c>
      <c r="D80" s="127"/>
      <c r="E80" s="59"/>
      <c r="F80" s="59"/>
      <c r="G80" s="59"/>
      <c r="H80" s="59"/>
      <c r="I80" s="59"/>
      <c r="J80" s="59"/>
      <c r="K80" s="59"/>
    </row>
    <row r="81">
      <c r="A81" s="115" t="s">
        <v>255</v>
      </c>
      <c r="C81" s="116" t="b">
        <v>0</v>
      </c>
      <c r="D81" s="127"/>
      <c r="E81" s="59"/>
      <c r="F81" s="59"/>
      <c r="G81" s="59"/>
      <c r="H81" s="59"/>
      <c r="I81" s="59"/>
      <c r="J81" s="59"/>
      <c r="K81" s="59"/>
    </row>
    <row r="82">
      <c r="A82" s="136" t="s">
        <v>256</v>
      </c>
      <c r="C82" s="130" t="s">
        <v>198</v>
      </c>
      <c r="D82" s="136" t="s">
        <v>70</v>
      </c>
      <c r="E82" s="59"/>
      <c r="F82" s="59"/>
      <c r="G82" s="59"/>
      <c r="H82" s="59"/>
      <c r="I82" s="59"/>
      <c r="J82" s="59"/>
      <c r="K82" s="59"/>
    </row>
    <row r="83">
      <c r="A83" s="115" t="s">
        <v>257</v>
      </c>
      <c r="C83" s="116" t="b">
        <v>0</v>
      </c>
      <c r="D83" s="131" t="s">
        <v>218</v>
      </c>
      <c r="E83" s="50"/>
      <c r="F83" s="59"/>
      <c r="G83" s="59"/>
      <c r="H83" s="59"/>
      <c r="I83" s="59"/>
      <c r="J83" s="59"/>
      <c r="K83" s="59"/>
    </row>
    <row r="84">
      <c r="A84" s="115" t="s">
        <v>258</v>
      </c>
      <c r="C84" s="116" t="b">
        <v>0</v>
      </c>
      <c r="D84" s="133"/>
      <c r="E84" s="50"/>
      <c r="F84" s="59"/>
      <c r="G84" s="59"/>
      <c r="H84" s="59"/>
      <c r="I84" s="59"/>
      <c r="J84" s="59"/>
      <c r="K84" s="59"/>
    </row>
    <row r="85">
      <c r="A85" s="115" t="s">
        <v>259</v>
      </c>
      <c r="C85" s="116" t="b">
        <v>0</v>
      </c>
      <c r="D85" s="127"/>
      <c r="E85" s="50"/>
      <c r="F85" s="59"/>
      <c r="G85" s="59"/>
      <c r="H85" s="59"/>
      <c r="I85" s="59"/>
      <c r="J85" s="59"/>
      <c r="K85" s="59"/>
    </row>
    <row r="86">
      <c r="A86" s="138"/>
      <c r="E86" s="50"/>
      <c r="F86" s="59"/>
      <c r="G86" s="59"/>
      <c r="H86" s="59"/>
      <c r="I86" s="59"/>
      <c r="J86" s="59"/>
      <c r="K86" s="59"/>
    </row>
    <row r="87">
      <c r="A87" s="137"/>
      <c r="B87" s="127"/>
      <c r="C87" s="127"/>
      <c r="D87" s="127"/>
      <c r="E87" s="50"/>
      <c r="F87" s="59"/>
      <c r="G87" s="59"/>
      <c r="H87" s="59"/>
      <c r="I87" s="59"/>
      <c r="J87" s="59"/>
      <c r="K87" s="59"/>
    </row>
    <row r="88">
      <c r="A88" s="139" t="s">
        <v>260</v>
      </c>
      <c r="E88" s="50"/>
      <c r="F88" s="59"/>
      <c r="G88" s="59"/>
      <c r="H88" s="59"/>
      <c r="I88" s="59"/>
      <c r="J88" s="59"/>
      <c r="K88" s="59"/>
    </row>
    <row r="89">
      <c r="A89" s="113" t="s">
        <v>261</v>
      </c>
      <c r="C89" s="114" t="s">
        <v>198</v>
      </c>
      <c r="D89" s="113" t="s">
        <v>70</v>
      </c>
      <c r="E89" s="59"/>
      <c r="F89" s="59"/>
      <c r="G89" s="59"/>
      <c r="H89" s="59"/>
      <c r="I89" s="59"/>
      <c r="J89" s="59"/>
      <c r="K89" s="59"/>
    </row>
    <row r="90">
      <c r="A90" s="116" t="s">
        <v>262</v>
      </c>
      <c r="C90" s="116" t="b">
        <v>0</v>
      </c>
      <c r="D90" s="117"/>
    </row>
    <row r="91">
      <c r="A91" s="116" t="s">
        <v>263</v>
      </c>
      <c r="C91" s="116" t="b">
        <v>0</v>
      </c>
      <c r="D91" s="140" t="s">
        <v>264</v>
      </c>
    </row>
    <row r="92">
      <c r="A92" s="141" t="s">
        <v>265</v>
      </c>
      <c r="C92" s="116" t="b">
        <v>0</v>
      </c>
      <c r="D92" s="117"/>
    </row>
    <row r="93">
      <c r="A93" s="116" t="s">
        <v>266</v>
      </c>
      <c r="C93" s="116" t="b">
        <v>0</v>
      </c>
      <c r="D93" s="117"/>
    </row>
    <row r="94">
      <c r="A94" s="116" t="s">
        <v>267</v>
      </c>
      <c r="C94" s="116" t="b">
        <v>0</v>
      </c>
      <c r="D94" s="117"/>
    </row>
    <row r="95">
      <c r="A95" s="116" t="s">
        <v>268</v>
      </c>
      <c r="C95" s="116" t="b">
        <v>0</v>
      </c>
      <c r="D95" s="142" t="s">
        <v>269</v>
      </c>
      <c r="E95" s="143" t="s">
        <v>270</v>
      </c>
    </row>
    <row r="96">
      <c r="A96" s="116" t="s">
        <v>271</v>
      </c>
      <c r="C96" s="116" t="b">
        <v>0</v>
      </c>
      <c r="D96" s="117"/>
    </row>
    <row r="97">
      <c r="A97" s="141" t="s">
        <v>272</v>
      </c>
      <c r="C97" s="116" t="b">
        <v>0</v>
      </c>
      <c r="D97" s="144" t="s">
        <v>174</v>
      </c>
    </row>
    <row r="98">
      <c r="A98" s="145" t="s">
        <v>273</v>
      </c>
      <c r="C98" s="116" t="b">
        <v>0</v>
      </c>
      <c r="D98" s="117"/>
      <c r="E98" s="146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</row>
    <row r="99">
      <c r="A99" s="147"/>
      <c r="B99" s="147"/>
      <c r="C99" s="147"/>
      <c r="D99" s="147"/>
      <c r="E99" s="146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</row>
    <row r="100">
      <c r="A100" s="146"/>
      <c r="B100" s="146"/>
      <c r="C100" s="146"/>
      <c r="D100" s="146"/>
      <c r="E100" s="146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</row>
    <row r="101" ht="19.5" customHeight="1">
      <c r="A101" s="148" t="s">
        <v>157</v>
      </c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</row>
    <row r="102" ht="19.5" customHeight="1">
      <c r="A102" s="149" t="s">
        <v>274</v>
      </c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</row>
    <row r="103">
      <c r="A103" s="150" t="s">
        <v>275</v>
      </c>
      <c r="C103" s="151" t="s">
        <v>198</v>
      </c>
      <c r="D103" s="150" t="s">
        <v>70</v>
      </c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</row>
    <row r="104">
      <c r="A104" s="152" t="s">
        <v>276</v>
      </c>
      <c r="C104" s="116" t="b">
        <v>0</v>
      </c>
      <c r="D104" s="131" t="s">
        <v>277</v>
      </c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>
      <c r="A105" s="152" t="s">
        <v>278</v>
      </c>
      <c r="C105" s="116" t="b">
        <v>0</v>
      </c>
      <c r="D105" s="137" t="s">
        <v>279</v>
      </c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</row>
    <row r="106">
      <c r="A106" s="152" t="s">
        <v>280</v>
      </c>
      <c r="C106" s="116" t="b">
        <v>0</v>
      </c>
      <c r="D106" s="137" t="s">
        <v>281</v>
      </c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</row>
    <row r="107">
      <c r="A107" s="153" t="s">
        <v>282</v>
      </c>
      <c r="C107" s="116" t="b">
        <v>0</v>
      </c>
      <c r="D107" s="137" t="s">
        <v>283</v>
      </c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</row>
    <row r="108">
      <c r="A108" s="115" t="s">
        <v>284</v>
      </c>
      <c r="C108" s="116" t="b">
        <v>0</v>
      </c>
      <c r="D108" s="115" t="s">
        <v>285</v>
      </c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</row>
    <row r="109">
      <c r="A109" s="115" t="s">
        <v>286</v>
      </c>
      <c r="C109" s="116" t="b">
        <v>0</v>
      </c>
      <c r="D109" s="115" t="s">
        <v>287</v>
      </c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</row>
    <row r="110">
      <c r="A110" s="115" t="s">
        <v>288</v>
      </c>
      <c r="C110" s="116" t="b">
        <v>0</v>
      </c>
      <c r="D110" s="137" t="s">
        <v>289</v>
      </c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</row>
    <row r="111">
      <c r="A111" s="137" t="s">
        <v>290</v>
      </c>
      <c r="C111" s="116" t="b">
        <v>0</v>
      </c>
      <c r="D111" s="137" t="s">
        <v>291</v>
      </c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>
      <c r="A112" s="150" t="s">
        <v>292</v>
      </c>
      <c r="C112" s="151" t="s">
        <v>198</v>
      </c>
      <c r="D112" s="150" t="s">
        <v>70</v>
      </c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</row>
    <row r="113">
      <c r="A113" s="127" t="s">
        <v>293</v>
      </c>
      <c r="C113" s="116" t="b">
        <v>0</v>
      </c>
      <c r="D113" s="137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</row>
    <row r="114">
      <c r="A114" s="137" t="s">
        <v>294</v>
      </c>
      <c r="C114" s="116" t="b">
        <v>0</v>
      </c>
      <c r="D114" s="154" t="s">
        <v>295</v>
      </c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</row>
    <row r="115">
      <c r="A115" s="127" t="s">
        <v>296</v>
      </c>
      <c r="C115" s="116" t="b">
        <v>0</v>
      </c>
      <c r="D115" s="137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</row>
    <row r="116">
      <c r="A116" s="123" t="s">
        <v>297</v>
      </c>
      <c r="C116" s="116" t="b">
        <v>0</v>
      </c>
      <c r="D116" s="137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</row>
    <row r="117">
      <c r="A117" s="137" t="s">
        <v>298</v>
      </c>
      <c r="C117" s="116" t="b">
        <v>0</v>
      </c>
      <c r="D117" s="137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</row>
    <row r="118">
      <c r="A118" s="115" t="s">
        <v>299</v>
      </c>
      <c r="C118" s="116" t="b">
        <v>0</v>
      </c>
      <c r="D118" s="137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>
      <c r="A119" s="127" t="s">
        <v>300</v>
      </c>
      <c r="C119" s="116" t="b">
        <v>0</v>
      </c>
      <c r="D119" s="137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</row>
    <row r="120">
      <c r="A120" s="127" t="s">
        <v>301</v>
      </c>
      <c r="C120" s="116" t="b">
        <v>0</v>
      </c>
      <c r="D120" s="137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</row>
    <row r="121">
      <c r="A121" s="127" t="s">
        <v>302</v>
      </c>
      <c r="C121" s="116" t="b">
        <v>0</v>
      </c>
      <c r="D121" s="137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</row>
    <row r="122">
      <c r="A122" s="115" t="s">
        <v>303</v>
      </c>
      <c r="C122" s="116" t="b">
        <v>0</v>
      </c>
      <c r="D122" s="137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</row>
    <row r="123">
      <c r="A123" s="123" t="s">
        <v>304</v>
      </c>
      <c r="C123" s="116" t="b">
        <v>0</v>
      </c>
      <c r="D123" s="115" t="s">
        <v>305</v>
      </c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</row>
    <row r="124">
      <c r="A124" s="150" t="s">
        <v>306</v>
      </c>
      <c r="C124" s="151" t="s">
        <v>198</v>
      </c>
      <c r="D124" s="150" t="s">
        <v>70</v>
      </c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>
      <c r="A125" s="137" t="s">
        <v>294</v>
      </c>
      <c r="C125" s="116" t="b">
        <v>0</v>
      </c>
      <c r="D125" s="154" t="s">
        <v>295</v>
      </c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</row>
    <row r="126">
      <c r="A126" s="155" t="s">
        <v>307</v>
      </c>
      <c r="C126" s="116" t="b">
        <v>0</v>
      </c>
      <c r="D126" s="137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</row>
    <row r="127">
      <c r="A127" s="155" t="s">
        <v>308</v>
      </c>
      <c r="C127" s="116" t="b">
        <v>0</v>
      </c>
      <c r="D127" s="137" t="s">
        <v>309</v>
      </c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</row>
    <row r="128">
      <c r="A128" s="155" t="s">
        <v>310</v>
      </c>
      <c r="C128" s="116" t="b">
        <v>0</v>
      </c>
      <c r="D128" s="137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</row>
    <row r="129">
      <c r="A129" s="156" t="s">
        <v>311</v>
      </c>
      <c r="C129" s="116" t="b">
        <v>0</v>
      </c>
      <c r="D129" s="137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</row>
    <row r="130">
      <c r="A130" s="157" t="s">
        <v>298</v>
      </c>
      <c r="C130" s="116" t="b">
        <v>0</v>
      </c>
      <c r="D130" s="137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</row>
    <row r="131">
      <c r="A131" s="127" t="s">
        <v>312</v>
      </c>
      <c r="C131" s="116" t="b">
        <v>0</v>
      </c>
      <c r="D131" s="137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>
      <c r="A132" s="155" t="s">
        <v>313</v>
      </c>
      <c r="C132" s="116" t="b">
        <v>0</v>
      </c>
      <c r="D132" s="137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</row>
    <row r="133">
      <c r="A133" s="127" t="s">
        <v>314</v>
      </c>
      <c r="C133" s="116" t="b">
        <v>0</v>
      </c>
      <c r="D133" s="137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</row>
    <row r="134">
      <c r="A134" s="150" t="s">
        <v>315</v>
      </c>
      <c r="C134" s="151" t="s">
        <v>198</v>
      </c>
      <c r="D134" s="150" t="s">
        <v>70</v>
      </c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</row>
    <row r="135">
      <c r="A135" s="137" t="s">
        <v>294</v>
      </c>
      <c r="C135" s="116" t="b">
        <v>0</v>
      </c>
      <c r="D135" s="154" t="s">
        <v>295</v>
      </c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</row>
    <row r="136">
      <c r="A136" s="152" t="s">
        <v>316</v>
      </c>
      <c r="C136" s="116" t="b">
        <v>0</v>
      </c>
      <c r="D136" s="137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</row>
    <row r="137">
      <c r="A137" s="127" t="s">
        <v>307</v>
      </c>
      <c r="C137" s="116" t="b">
        <v>0</v>
      </c>
      <c r="D137" s="137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</row>
    <row r="138">
      <c r="A138" s="127" t="s">
        <v>317</v>
      </c>
      <c r="C138" s="116" t="b">
        <v>0</v>
      </c>
      <c r="D138" s="137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</row>
    <row r="139">
      <c r="A139" s="127" t="s">
        <v>318</v>
      </c>
      <c r="C139" s="116" t="b">
        <v>0</v>
      </c>
      <c r="D139" s="137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</row>
    <row r="140">
      <c r="A140" s="158" t="s">
        <v>319</v>
      </c>
      <c r="B140" s="150"/>
      <c r="C140" s="151"/>
      <c r="D140" s="150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>
      <c r="A141" s="159" t="s">
        <v>320</v>
      </c>
      <c r="C141" s="116" t="b">
        <v>0</v>
      </c>
      <c r="D141" s="154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</row>
    <row r="142">
      <c r="A142" s="159" t="s">
        <v>321</v>
      </c>
      <c r="C142" s="116" t="b">
        <v>0</v>
      </c>
      <c r="D142" s="154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</row>
    <row r="143">
      <c r="A143" s="159" t="s">
        <v>322</v>
      </c>
      <c r="C143" s="116" t="b">
        <v>0</v>
      </c>
      <c r="D143" s="115" t="s">
        <v>323</v>
      </c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</row>
    <row r="144">
      <c r="A144" s="159" t="s">
        <v>324</v>
      </c>
      <c r="C144" s="116" t="b">
        <v>0</v>
      </c>
      <c r="D144" s="115" t="s">
        <v>325</v>
      </c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</row>
    <row r="145">
      <c r="A145" s="150" t="s">
        <v>326</v>
      </c>
      <c r="C145" s="151" t="s">
        <v>198</v>
      </c>
      <c r="D145" s="150" t="s">
        <v>70</v>
      </c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</row>
    <row r="146">
      <c r="A146" s="160" t="s">
        <v>327</v>
      </c>
      <c r="C146" s="116" t="b">
        <v>0</v>
      </c>
      <c r="D146" s="154" t="s">
        <v>328</v>
      </c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</row>
    <row r="147">
      <c r="A147" s="137" t="s">
        <v>329</v>
      </c>
      <c r="C147" s="116" t="b">
        <v>0</v>
      </c>
      <c r="D147" s="137" t="s">
        <v>330</v>
      </c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>
      <c r="A148" s="137" t="s">
        <v>331</v>
      </c>
      <c r="C148" s="116" t="b">
        <v>0</v>
      </c>
      <c r="D148" s="154" t="s">
        <v>332</v>
      </c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</row>
    <row r="149">
      <c r="A149" s="137" t="s">
        <v>333</v>
      </c>
      <c r="C149" s="116" t="b">
        <v>0</v>
      </c>
      <c r="D149" s="154" t="s">
        <v>332</v>
      </c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</row>
    <row r="150">
      <c r="A150" s="137" t="s">
        <v>334</v>
      </c>
      <c r="C150" s="116" t="b">
        <v>0</v>
      </c>
      <c r="D150" s="154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</row>
    <row r="151">
      <c r="A151" s="150" t="s">
        <v>256</v>
      </c>
      <c r="C151" s="151" t="s">
        <v>198</v>
      </c>
      <c r="D151" s="150" t="s">
        <v>70</v>
      </c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</row>
    <row r="152">
      <c r="A152" s="127" t="s">
        <v>335</v>
      </c>
      <c r="C152" s="161" t="b">
        <v>0</v>
      </c>
      <c r="D152" s="137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</row>
    <row r="153">
      <c r="A153" s="127" t="s">
        <v>336</v>
      </c>
      <c r="C153" s="161" t="b">
        <v>0</v>
      </c>
      <c r="D153" s="137" t="s">
        <v>337</v>
      </c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</row>
    <row r="154">
      <c r="A154" s="127" t="s">
        <v>338</v>
      </c>
      <c r="C154" s="161" t="b">
        <v>0</v>
      </c>
      <c r="D154" s="137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>
      <c r="A155" s="162"/>
      <c r="B155" s="162"/>
      <c r="C155" s="162"/>
      <c r="D155" s="162"/>
      <c r="E155" s="59"/>
      <c r="F155" s="59"/>
      <c r="G155" s="59"/>
      <c r="H155" s="146"/>
      <c r="I155" s="137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</row>
    <row r="156">
      <c r="E156" s="59"/>
      <c r="F156" s="59"/>
      <c r="G156" s="59"/>
      <c r="H156" s="146"/>
      <c r="I156" s="137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</row>
    <row r="157">
      <c r="A157" s="163" t="s">
        <v>339</v>
      </c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</row>
    <row r="158">
      <c r="A158" s="164" t="s">
        <v>197</v>
      </c>
      <c r="C158" s="165" t="s">
        <v>198</v>
      </c>
      <c r="D158" s="164" t="s">
        <v>70</v>
      </c>
      <c r="E158" s="10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</row>
    <row r="159">
      <c r="A159" s="166" t="s">
        <v>340</v>
      </c>
      <c r="C159" s="116" t="b">
        <v>0</v>
      </c>
      <c r="D159" s="167" t="s">
        <v>341</v>
      </c>
      <c r="E159" s="7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</row>
    <row r="160">
      <c r="D160" s="168" t="s">
        <v>342</v>
      </c>
      <c r="E160" s="7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</row>
    <row r="161">
      <c r="A161" s="141" t="s">
        <v>343</v>
      </c>
      <c r="C161" s="116" t="b">
        <v>0</v>
      </c>
      <c r="E161" s="7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</row>
    <row r="162">
      <c r="A162" s="141" t="s">
        <v>344</v>
      </c>
      <c r="C162" s="116" t="b">
        <v>0</v>
      </c>
      <c r="D162" s="169" t="s">
        <v>345</v>
      </c>
      <c r="E162" s="79"/>
      <c r="F162" s="59"/>
      <c r="G162" s="59"/>
      <c r="H162" s="59"/>
      <c r="I162" s="59"/>
    </row>
    <row r="163">
      <c r="A163" s="164" t="s">
        <v>346</v>
      </c>
      <c r="C163" s="165" t="s">
        <v>198</v>
      </c>
      <c r="D163" s="164" t="s">
        <v>70</v>
      </c>
      <c r="E163" s="79"/>
      <c r="F163" s="59"/>
      <c r="G163" s="59"/>
      <c r="H163" s="59"/>
      <c r="I163" s="59"/>
      <c r="J163" s="59"/>
    </row>
    <row r="164">
      <c r="A164" s="166" t="s">
        <v>347</v>
      </c>
      <c r="C164" s="116" t="b">
        <v>0</v>
      </c>
      <c r="E164" s="79"/>
      <c r="F164" s="59"/>
      <c r="G164" s="59"/>
      <c r="H164" s="59"/>
      <c r="I164" s="59"/>
      <c r="J164" s="59"/>
    </row>
    <row r="165">
      <c r="A165" s="141" t="s">
        <v>348</v>
      </c>
      <c r="C165" s="116" t="b">
        <v>0</v>
      </c>
      <c r="D165" s="169" t="s">
        <v>345</v>
      </c>
      <c r="E165" s="79"/>
      <c r="F165" s="59"/>
      <c r="G165" s="59"/>
      <c r="H165" s="59"/>
      <c r="I165" s="59"/>
      <c r="J165" s="59"/>
    </row>
    <row r="166">
      <c r="A166" s="141" t="s">
        <v>349</v>
      </c>
      <c r="C166" s="116" t="b">
        <v>0</v>
      </c>
      <c r="E166" s="79"/>
      <c r="F166" s="59"/>
      <c r="G166" s="59"/>
      <c r="H166" s="59"/>
      <c r="I166" s="59"/>
      <c r="J166" s="59"/>
    </row>
    <row r="167" ht="36.0" customHeight="1">
      <c r="A167" s="141" t="s">
        <v>350</v>
      </c>
      <c r="C167" s="116" t="b">
        <v>0</v>
      </c>
      <c r="E167" s="79"/>
      <c r="F167" s="59"/>
      <c r="G167" s="59"/>
      <c r="H167" s="59"/>
      <c r="I167" s="59"/>
      <c r="J167" s="59"/>
    </row>
    <row r="168" ht="19.5" customHeight="1">
      <c r="A168" s="116" t="s">
        <v>351</v>
      </c>
      <c r="C168" s="116" t="b">
        <v>0</v>
      </c>
      <c r="E168" s="79"/>
      <c r="F168" s="59"/>
      <c r="G168" s="59"/>
      <c r="H168" s="59"/>
      <c r="I168" s="59"/>
      <c r="J168" s="59"/>
    </row>
    <row r="169" ht="33.0" customHeight="1">
      <c r="A169" s="141" t="s">
        <v>352</v>
      </c>
      <c r="C169" s="116" t="b">
        <v>0</v>
      </c>
      <c r="E169" s="146"/>
      <c r="F169" s="59"/>
      <c r="G169" s="59"/>
      <c r="H169" s="59"/>
      <c r="I169" s="59"/>
      <c r="J169" s="59"/>
    </row>
    <row r="170">
      <c r="A170" s="141" t="s">
        <v>353</v>
      </c>
      <c r="C170" s="116" t="b">
        <v>0</v>
      </c>
      <c r="E170" s="146"/>
      <c r="F170" s="59"/>
      <c r="G170" s="59"/>
      <c r="H170" s="59"/>
      <c r="I170" s="59"/>
      <c r="J170" s="59"/>
    </row>
    <row r="171">
      <c r="A171" s="116" t="s">
        <v>354</v>
      </c>
      <c r="C171" s="116" t="b">
        <v>0</v>
      </c>
      <c r="E171" s="146"/>
      <c r="F171" s="59"/>
      <c r="G171" s="59"/>
      <c r="H171" s="59"/>
      <c r="I171" s="59"/>
      <c r="J171" s="59"/>
    </row>
    <row r="172">
      <c r="A172" s="116" t="s">
        <v>355</v>
      </c>
      <c r="C172" s="116" t="b">
        <v>0</v>
      </c>
      <c r="E172" s="146"/>
      <c r="F172" s="59"/>
      <c r="G172" s="59"/>
      <c r="H172" s="59"/>
      <c r="I172" s="59"/>
      <c r="J172" s="59"/>
    </row>
    <row r="173">
      <c r="A173" s="164" t="s">
        <v>256</v>
      </c>
      <c r="C173" s="165" t="s">
        <v>198</v>
      </c>
      <c r="D173" s="164" t="s">
        <v>70</v>
      </c>
      <c r="E173" s="146"/>
      <c r="F173" s="59"/>
      <c r="G173" s="59"/>
      <c r="H173" s="59"/>
      <c r="I173" s="59"/>
      <c r="J173" s="59"/>
    </row>
    <row r="174">
      <c r="A174" s="116" t="s">
        <v>356</v>
      </c>
      <c r="C174" s="116" t="b">
        <v>0</v>
      </c>
      <c r="D174" s="116" t="s">
        <v>357</v>
      </c>
      <c r="E174" s="146"/>
      <c r="F174" s="59"/>
      <c r="G174" s="59"/>
      <c r="H174" s="59"/>
      <c r="I174" s="59"/>
      <c r="J174" s="59"/>
    </row>
    <row r="175">
      <c r="E175" s="146"/>
      <c r="F175" s="59"/>
      <c r="G175" s="59"/>
      <c r="H175" s="59"/>
      <c r="I175" s="59"/>
      <c r="J175" s="59"/>
    </row>
    <row r="176">
      <c r="E176" s="146"/>
      <c r="F176" s="59"/>
      <c r="G176" s="59"/>
      <c r="H176" s="59"/>
      <c r="I176" s="59"/>
      <c r="J176" s="59"/>
    </row>
    <row r="177">
      <c r="E177" s="146"/>
      <c r="F177" s="59"/>
      <c r="G177" s="59"/>
      <c r="H177" s="59"/>
      <c r="I177" s="59"/>
      <c r="J177" s="59"/>
    </row>
    <row r="178">
      <c r="A178" s="146"/>
      <c r="E178" s="146"/>
      <c r="F178" s="59"/>
      <c r="G178" s="59"/>
      <c r="H178" s="59"/>
      <c r="I178" s="59"/>
      <c r="J178" s="59"/>
    </row>
    <row r="179">
      <c r="A179" s="146"/>
      <c r="E179" s="146"/>
      <c r="F179" s="59"/>
      <c r="G179" s="59"/>
      <c r="H179" s="59"/>
      <c r="I179" s="59"/>
      <c r="J179" s="59"/>
    </row>
    <row r="180">
      <c r="A180" s="146"/>
      <c r="E180" s="146"/>
      <c r="F180" s="59"/>
      <c r="G180" s="59"/>
      <c r="H180" s="59"/>
      <c r="I180" s="59"/>
      <c r="J180" s="59"/>
    </row>
    <row r="181">
      <c r="E181" s="146"/>
      <c r="F181" s="59"/>
      <c r="G181" s="59"/>
      <c r="H181" s="59"/>
      <c r="I181" s="59"/>
      <c r="J181" s="59"/>
    </row>
    <row r="182">
      <c r="E182" s="146"/>
      <c r="F182" s="59"/>
      <c r="G182" s="59"/>
      <c r="H182" s="59"/>
      <c r="I182" s="59"/>
      <c r="J182" s="59"/>
    </row>
    <row r="183">
      <c r="E183" s="146"/>
      <c r="F183" s="59"/>
      <c r="G183" s="59"/>
      <c r="H183" s="59"/>
      <c r="I183" s="59"/>
      <c r="J183" s="59"/>
    </row>
    <row r="184">
      <c r="E184" s="146"/>
      <c r="F184" s="59"/>
      <c r="H184" s="59"/>
      <c r="I184" s="137"/>
      <c r="J184" s="59"/>
    </row>
    <row r="185">
      <c r="E185" s="146"/>
      <c r="F185" s="146"/>
      <c r="G185" s="146"/>
      <c r="H185" s="146"/>
      <c r="I185" s="146"/>
      <c r="J185" s="59"/>
    </row>
    <row r="186">
      <c r="E186" s="146"/>
      <c r="F186" s="146"/>
      <c r="G186" s="146"/>
      <c r="H186" s="146"/>
      <c r="I186" s="146"/>
      <c r="J186" s="59"/>
    </row>
    <row r="187">
      <c r="E187" s="146"/>
      <c r="F187" s="146"/>
      <c r="G187" s="146"/>
      <c r="H187" s="146"/>
      <c r="I187" s="146"/>
      <c r="J187" s="59"/>
    </row>
    <row r="188">
      <c r="E188" s="146"/>
      <c r="F188" s="146"/>
      <c r="G188" s="146"/>
      <c r="H188" s="146"/>
      <c r="I188" s="146"/>
      <c r="J188" s="59"/>
    </row>
    <row r="189">
      <c r="E189" s="146"/>
      <c r="F189" s="146"/>
      <c r="G189" s="146"/>
      <c r="H189" s="146"/>
      <c r="I189" s="146"/>
      <c r="J189" s="59"/>
    </row>
    <row r="190">
      <c r="E190" s="146"/>
      <c r="F190" s="146"/>
      <c r="G190" s="146"/>
      <c r="H190" s="146"/>
      <c r="I190" s="146"/>
      <c r="J190" s="59"/>
    </row>
    <row r="191">
      <c r="E191" s="146"/>
      <c r="F191" s="146"/>
      <c r="G191" s="146"/>
      <c r="H191" s="146"/>
      <c r="I191" s="146"/>
      <c r="J191" s="59"/>
    </row>
    <row r="192">
      <c r="E192" s="146"/>
      <c r="F192" s="146"/>
      <c r="G192" s="146"/>
      <c r="H192" s="146"/>
      <c r="I192" s="146"/>
      <c r="J192" s="59"/>
    </row>
    <row r="193">
      <c r="E193" s="146"/>
      <c r="F193" s="146"/>
      <c r="G193" s="146"/>
      <c r="H193" s="146"/>
      <c r="I193" s="146"/>
      <c r="J193" s="59"/>
    </row>
    <row r="194">
      <c r="E194" s="146"/>
      <c r="F194" s="146"/>
      <c r="G194" s="146"/>
      <c r="H194" s="146"/>
      <c r="I194" s="146"/>
      <c r="J194" s="59"/>
    </row>
    <row r="195">
      <c r="E195" s="146"/>
      <c r="F195" s="146"/>
      <c r="G195" s="146"/>
      <c r="H195" s="146"/>
      <c r="I195" s="146"/>
      <c r="J195" s="59"/>
    </row>
    <row r="196">
      <c r="E196" s="146"/>
      <c r="F196" s="146"/>
      <c r="G196" s="146"/>
      <c r="H196" s="146"/>
      <c r="I196" s="146"/>
      <c r="J196" s="59"/>
    </row>
    <row r="197">
      <c r="E197" s="146"/>
      <c r="F197" s="146"/>
      <c r="G197" s="146"/>
      <c r="H197" s="146"/>
      <c r="I197" s="146"/>
      <c r="J197" s="59"/>
    </row>
    <row r="198">
      <c r="E198" s="146"/>
      <c r="F198" s="146"/>
      <c r="G198" s="146"/>
      <c r="H198" s="146"/>
      <c r="I198" s="146"/>
      <c r="J198" s="59"/>
    </row>
    <row r="199">
      <c r="E199" s="146"/>
      <c r="F199" s="146"/>
      <c r="G199" s="146"/>
      <c r="H199" s="146"/>
      <c r="I199" s="146"/>
      <c r="J199" s="59"/>
    </row>
    <row r="200">
      <c r="E200" s="59"/>
      <c r="F200" s="59"/>
      <c r="G200" s="59"/>
      <c r="H200" s="59"/>
      <c r="I200" s="59"/>
      <c r="J200" s="59"/>
    </row>
    <row r="201">
      <c r="E201" s="59"/>
      <c r="F201" s="59"/>
      <c r="G201" s="59"/>
      <c r="H201" s="59"/>
      <c r="I201" s="59"/>
      <c r="J201" s="59"/>
    </row>
    <row r="202">
      <c r="E202" s="59"/>
      <c r="F202" s="59"/>
      <c r="G202" s="59"/>
      <c r="H202" s="59"/>
      <c r="I202" s="59"/>
      <c r="J202" s="59"/>
    </row>
    <row r="203">
      <c r="E203" s="59"/>
      <c r="F203" s="59"/>
      <c r="G203" s="59"/>
      <c r="H203" s="59"/>
      <c r="I203" s="59"/>
      <c r="J203" s="59"/>
    </row>
  </sheetData>
  <mergeCells count="163">
    <mergeCell ref="A3:B3"/>
    <mergeCell ref="G4:G6"/>
    <mergeCell ref="A5:A7"/>
    <mergeCell ref="B5:B7"/>
    <mergeCell ref="C5:C7"/>
    <mergeCell ref="D5:D7"/>
    <mergeCell ref="A9:A10"/>
    <mergeCell ref="D9:D10"/>
    <mergeCell ref="B14:B15"/>
    <mergeCell ref="C14:C15"/>
    <mergeCell ref="B9:B10"/>
    <mergeCell ref="C9:C10"/>
    <mergeCell ref="A11:A13"/>
    <mergeCell ref="B11:B13"/>
    <mergeCell ref="C11:C13"/>
    <mergeCell ref="D11:D13"/>
    <mergeCell ref="A14:A15"/>
    <mergeCell ref="D14:D15"/>
    <mergeCell ref="A22:D23"/>
    <mergeCell ref="A25:D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C41"/>
    <mergeCell ref="A43:D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D86"/>
    <mergeCell ref="A88:D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1:D101"/>
    <mergeCell ref="N101:O101"/>
    <mergeCell ref="A102:D102"/>
    <mergeCell ref="A103:B103"/>
    <mergeCell ref="A154:B154"/>
    <mergeCell ref="A157:D157"/>
    <mergeCell ref="A158:B158"/>
    <mergeCell ref="A159:B160"/>
    <mergeCell ref="C159:C160"/>
    <mergeCell ref="A161:B161"/>
    <mergeCell ref="A162:B162"/>
    <mergeCell ref="A170:B170"/>
    <mergeCell ref="A171:B171"/>
    <mergeCell ref="A172:B172"/>
    <mergeCell ref="A173:B173"/>
    <mergeCell ref="A174:B174"/>
    <mergeCell ref="F184:G184"/>
    <mergeCell ref="A163:B163"/>
    <mergeCell ref="A164:B164"/>
    <mergeCell ref="A165:B165"/>
    <mergeCell ref="A166:B166"/>
    <mergeCell ref="A167:B167"/>
    <mergeCell ref="A168:B168"/>
    <mergeCell ref="A169:B169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</mergeCells>
  <conditionalFormatting sqref="C27:C40 C45:C47 C49:C59 C61:C68 C70:C76 C78:C81 C83:C85 C90:C98 C104:C111 C113:C123 C125:C133 C135:C139 C141:C144 C146:C150 C152:C154 C159:C162 C164:C172 C174">
    <cfRule type="containsText" dxfId="5" priority="1" operator="containsText" text="TRUE">
      <formula>NOT(ISERROR(SEARCH(("TRUE"),(C27))))</formula>
    </cfRule>
  </conditionalFormatting>
  <hyperlinks>
    <hyperlink r:id="rId1" location="slide=id.g4a2dbfbc96_0_207" ref="A1"/>
    <hyperlink r:id="rId2" ref="A2"/>
    <hyperlink display="Quirks Tab" location="Quirks!A1" ref="E5"/>
    <hyperlink display="Borrowed List" location="'Borrowed List'!A1" ref="E6"/>
    <hyperlink display="Derig Checklists" location="'Derig Checklist'!A1" ref="E7"/>
    <hyperlink r:id="rId3" location="slide=id.p" ref="E8"/>
    <hyperlink display="Operator Event Goals" location="'Schedule Template'!A1" ref="E9"/>
    <hyperlink r:id="rId4" ref="E11"/>
    <hyperlink display="Operator Event Goals" location="'Operator Event Goals'!A1" ref="E14"/>
    <hyperlink display="Rig - Audio Mixers&#10;SP Audio Monitoring" location="'Rig - Audio Mixers'!A1" ref="E16"/>
    <hyperlink display="Macros" location="Macros!A1" ref="E17"/>
    <hyperlink display="Rig - ELC Crossover" location="'Rig - ELC Crossover'!A1" ref="E19"/>
    <hyperlink display="Has the quirks tracker been updated to include all quirks from the Quirks tab and the Quirks group chat? " location="Quirks!A1" ref="A31"/>
    <hyperlink r:id="rId5" location="gid=1446907432" ref="D31"/>
    <hyperlink display="Rig Cameras Tab" location="'Rig - Cameras'!A1" ref="D33"/>
    <hyperlink display="Borrowed List " location="'Borrowed List'!A1" ref="D37"/>
    <hyperlink display="Has the quirks tracker been updated to include all quirks from the Quirks tab and the Quirks group chat? " location="Quirks!A1" ref="A38"/>
    <hyperlink r:id="rId6" location="gid=1446907432" ref="D38"/>
    <hyperlink display="Derig Checklists" location="'Derig Checklist'!A1" ref="D39"/>
    <hyperlink r:id="rId7" location="slide=id.p" ref="D45"/>
    <hyperlink r:id="rId8" location="gid=1812451897" ref="D47"/>
    <hyperlink r:id="rId9" location="slide=id.p" ref="D83"/>
    <hyperlink r:id="rId10" location="gid=720405930" ref="D95"/>
    <hyperlink display="Operator Event Goals" location="'Operator Event Goals'!A1" ref="D97"/>
    <hyperlink r:id="rId11" ref="D104"/>
    <hyperlink r:id="rId12" location="gid=2070905012" ref="A107"/>
    <hyperlink r:id="rId13" location="gid=2070905012" ref="D114"/>
    <hyperlink r:id="rId14" location="gid=2070905012" ref="D125"/>
    <hyperlink r:id="rId15" location="gid=2070905012" ref="D135"/>
    <hyperlink r:id="rId16" location="gid=445804676" ref="D146"/>
    <hyperlink r:id="rId17" location="gid=1823677223" ref="D148"/>
    <hyperlink r:id="rId18" location="gid=1823677223" ref="D149"/>
    <hyperlink r:id="rId19" location="slide=id.p" ref="D159"/>
    <hyperlink r:id="rId20" location="slide=id.g74aa94ca16_0_0" ref="D160"/>
    <hyperlink r:id="rId21" location="gid=1844912517" ref="D162"/>
    <hyperlink r:id="rId22" location="gid=1844912517" ref="D165"/>
  </hyperlinks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66.38"/>
    <col customWidth="1" min="4" max="4" width="23.88"/>
    <col customWidth="1" min="5" max="5" width="25.63"/>
  </cols>
  <sheetData>
    <row r="1">
      <c r="A1" s="170"/>
      <c r="E1" s="171"/>
      <c r="F1" s="59"/>
      <c r="G1" s="59"/>
      <c r="H1" s="59"/>
      <c r="I1" s="59"/>
      <c r="J1" s="59"/>
    </row>
    <row r="2">
      <c r="A2" s="172" t="s">
        <v>358</v>
      </c>
      <c r="B2" s="173"/>
      <c r="C2" s="173"/>
      <c r="D2" s="173"/>
      <c r="E2" s="174"/>
      <c r="F2" s="59"/>
      <c r="G2" s="59"/>
      <c r="H2" s="59"/>
      <c r="I2" s="59"/>
      <c r="J2" s="59"/>
    </row>
    <row r="3">
      <c r="A3" s="175" t="s">
        <v>359</v>
      </c>
      <c r="B3" s="175" t="s">
        <v>360</v>
      </c>
      <c r="C3" s="175" t="s">
        <v>361</v>
      </c>
      <c r="D3" s="176" t="s">
        <v>362</v>
      </c>
      <c r="E3" s="176" t="s">
        <v>363</v>
      </c>
      <c r="F3" s="59"/>
      <c r="G3" s="59"/>
      <c r="H3" s="59"/>
      <c r="I3" s="59"/>
      <c r="J3" s="59"/>
    </row>
    <row r="4">
      <c r="A4" s="177" t="s">
        <v>364</v>
      </c>
      <c r="B4" s="178" t="s">
        <v>365</v>
      </c>
      <c r="C4" s="179" t="s">
        <v>74</v>
      </c>
      <c r="D4" s="54" t="s">
        <v>366</v>
      </c>
      <c r="E4" s="58"/>
      <c r="F4" s="59"/>
      <c r="G4" s="59"/>
      <c r="H4" s="59"/>
      <c r="I4" s="59"/>
      <c r="J4" s="59"/>
    </row>
    <row r="5">
      <c r="A5" s="177" t="s">
        <v>364</v>
      </c>
      <c r="B5" s="178" t="s">
        <v>367</v>
      </c>
      <c r="C5" s="179" t="s">
        <v>74</v>
      </c>
      <c r="D5" s="58"/>
      <c r="E5" s="58"/>
      <c r="F5" s="59"/>
      <c r="G5" s="59"/>
      <c r="H5" s="59"/>
      <c r="I5" s="59"/>
      <c r="J5" s="59"/>
    </row>
    <row r="6">
      <c r="A6" s="177" t="s">
        <v>368</v>
      </c>
      <c r="B6" s="178" t="s">
        <v>369</v>
      </c>
      <c r="C6" s="179" t="s">
        <v>74</v>
      </c>
      <c r="D6" s="58"/>
      <c r="E6" s="58"/>
      <c r="F6" s="59"/>
      <c r="G6" s="59"/>
      <c r="H6" s="59"/>
      <c r="I6" s="59"/>
      <c r="J6" s="59"/>
    </row>
    <row r="7">
      <c r="A7" s="180" t="s">
        <v>370</v>
      </c>
      <c r="B7" s="181" t="s">
        <v>371</v>
      </c>
      <c r="C7" s="179" t="s">
        <v>74</v>
      </c>
      <c r="D7" s="58"/>
      <c r="E7" s="58"/>
      <c r="F7" s="59"/>
      <c r="G7" s="59"/>
      <c r="H7" s="59"/>
      <c r="I7" s="59"/>
      <c r="J7" s="59"/>
    </row>
    <row r="8">
      <c r="A8" s="180" t="s">
        <v>372</v>
      </c>
      <c r="B8" s="181" t="s">
        <v>373</v>
      </c>
      <c r="C8" s="179" t="s">
        <v>74</v>
      </c>
      <c r="D8" s="58"/>
      <c r="E8" s="58"/>
      <c r="F8" s="59"/>
      <c r="G8" s="59"/>
      <c r="H8" s="59"/>
      <c r="I8" s="59"/>
      <c r="J8" s="59"/>
    </row>
    <row r="9">
      <c r="A9" s="180" t="s">
        <v>372</v>
      </c>
      <c r="B9" s="181" t="s">
        <v>374</v>
      </c>
      <c r="C9" s="179" t="s">
        <v>74</v>
      </c>
      <c r="D9" s="58"/>
      <c r="E9" s="58"/>
      <c r="F9" s="59"/>
      <c r="G9" s="59"/>
      <c r="H9" s="59"/>
      <c r="I9" s="59"/>
      <c r="J9" s="59"/>
    </row>
    <row r="10">
      <c r="A10" s="181"/>
      <c r="B10" s="182"/>
      <c r="C10" s="179" t="s">
        <v>74</v>
      </c>
      <c r="D10" s="58"/>
      <c r="E10" s="58"/>
      <c r="F10" s="59"/>
      <c r="G10" s="59"/>
      <c r="H10" s="59"/>
      <c r="I10" s="59"/>
      <c r="J10" s="59"/>
    </row>
    <row r="11">
      <c r="A11" s="180"/>
      <c r="B11" s="181"/>
      <c r="C11" s="179" t="s">
        <v>74</v>
      </c>
      <c r="D11" s="54"/>
      <c r="E11" s="58"/>
      <c r="F11" s="59"/>
      <c r="G11" s="59"/>
      <c r="H11" s="59"/>
      <c r="I11" s="59"/>
      <c r="J11" s="59"/>
    </row>
    <row r="12">
      <c r="A12" s="183"/>
      <c r="B12" s="58"/>
      <c r="C12" s="179" t="s">
        <v>74</v>
      </c>
      <c r="D12" s="58"/>
      <c r="E12" s="58"/>
      <c r="F12" s="59"/>
      <c r="G12" s="59"/>
      <c r="H12" s="59"/>
      <c r="I12" s="59"/>
      <c r="J12" s="59"/>
    </row>
    <row r="13">
      <c r="A13" s="58"/>
      <c r="B13" s="58"/>
      <c r="C13" s="179" t="s">
        <v>74</v>
      </c>
      <c r="D13" s="58"/>
      <c r="E13" s="58"/>
      <c r="F13" s="59"/>
      <c r="G13" s="59"/>
      <c r="H13" s="59"/>
      <c r="I13" s="59"/>
      <c r="J13" s="59"/>
    </row>
    <row r="14">
      <c r="A14" s="170"/>
      <c r="E14" s="171"/>
      <c r="F14" s="59"/>
      <c r="G14" s="59"/>
      <c r="H14" s="59"/>
      <c r="I14" s="59"/>
      <c r="J14" s="59"/>
    </row>
    <row r="15">
      <c r="A15" s="172" t="s">
        <v>375</v>
      </c>
      <c r="B15" s="173"/>
      <c r="C15" s="173"/>
      <c r="D15" s="173"/>
      <c r="E15" s="174"/>
      <c r="F15" s="59"/>
      <c r="G15" s="59"/>
      <c r="H15" s="59"/>
      <c r="I15" s="59"/>
      <c r="J15" s="59"/>
    </row>
    <row r="16">
      <c r="A16" s="175" t="s">
        <v>359</v>
      </c>
      <c r="B16" s="175" t="s">
        <v>360</v>
      </c>
      <c r="C16" s="175" t="s">
        <v>361</v>
      </c>
      <c r="D16" s="176" t="s">
        <v>362</v>
      </c>
      <c r="E16" s="176" t="s">
        <v>363</v>
      </c>
      <c r="F16" s="59"/>
      <c r="G16" s="59"/>
      <c r="H16" s="59"/>
      <c r="I16" s="59"/>
      <c r="J16" s="59"/>
    </row>
    <row r="17">
      <c r="A17" s="177" t="s">
        <v>376</v>
      </c>
      <c r="B17" s="178" t="s">
        <v>377</v>
      </c>
      <c r="C17" s="179" t="s">
        <v>74</v>
      </c>
      <c r="D17" s="54" t="s">
        <v>378</v>
      </c>
      <c r="E17" s="58"/>
      <c r="F17" s="59"/>
      <c r="G17" s="59"/>
      <c r="H17" s="59"/>
      <c r="I17" s="59"/>
      <c r="J17" s="59"/>
    </row>
    <row r="18">
      <c r="A18" s="177" t="s">
        <v>125</v>
      </c>
      <c r="B18" s="178" t="s">
        <v>379</v>
      </c>
      <c r="C18" s="179" t="s">
        <v>74</v>
      </c>
      <c r="D18" s="58"/>
      <c r="E18" s="58"/>
      <c r="F18" s="59"/>
      <c r="G18" s="59"/>
      <c r="H18" s="59"/>
      <c r="I18" s="59"/>
      <c r="J18" s="59"/>
    </row>
    <row r="19">
      <c r="A19" s="177" t="s">
        <v>380</v>
      </c>
      <c r="B19" s="181" t="s">
        <v>381</v>
      </c>
      <c r="C19" s="179" t="s">
        <v>74</v>
      </c>
      <c r="D19" s="58"/>
      <c r="E19" s="58"/>
      <c r="F19" s="59"/>
      <c r="G19" s="59"/>
      <c r="H19" s="59"/>
      <c r="I19" s="59"/>
      <c r="J19" s="59"/>
    </row>
    <row r="20">
      <c r="A20" s="177" t="s">
        <v>364</v>
      </c>
      <c r="B20" s="178" t="s">
        <v>382</v>
      </c>
      <c r="C20" s="179" t="s">
        <v>74</v>
      </c>
      <c r="D20" s="58"/>
      <c r="E20" s="58"/>
      <c r="F20" s="59"/>
      <c r="G20" s="59"/>
      <c r="H20" s="59"/>
      <c r="I20" s="59"/>
      <c r="J20" s="59"/>
    </row>
    <row r="21">
      <c r="A21" s="180" t="s">
        <v>364</v>
      </c>
      <c r="B21" s="181" t="s">
        <v>383</v>
      </c>
      <c r="C21" s="179" t="s">
        <v>74</v>
      </c>
      <c r="D21" s="54"/>
      <c r="E21" s="58"/>
      <c r="F21" s="59"/>
      <c r="G21" s="59"/>
      <c r="H21" s="59"/>
      <c r="I21" s="59"/>
      <c r="J21" s="59"/>
    </row>
    <row r="22">
      <c r="A22" s="180" t="s">
        <v>364</v>
      </c>
      <c r="B22" s="181" t="s">
        <v>384</v>
      </c>
      <c r="C22" s="179" t="s">
        <v>74</v>
      </c>
      <c r="D22" s="58"/>
      <c r="E22" s="58"/>
      <c r="F22" s="59"/>
      <c r="G22" s="59"/>
      <c r="H22" s="59"/>
      <c r="I22" s="59"/>
      <c r="J22" s="59"/>
    </row>
    <row r="23">
      <c r="A23" s="180" t="s">
        <v>372</v>
      </c>
      <c r="B23" s="181" t="s">
        <v>385</v>
      </c>
      <c r="C23" s="179" t="s">
        <v>74</v>
      </c>
      <c r="D23" s="54" t="s">
        <v>386</v>
      </c>
      <c r="E23" s="58"/>
      <c r="F23" s="59"/>
      <c r="G23" s="59"/>
      <c r="H23" s="59"/>
      <c r="I23" s="59"/>
      <c r="J23" s="59"/>
    </row>
    <row r="24">
      <c r="A24" s="180"/>
      <c r="B24" s="181"/>
      <c r="C24" s="179" t="s">
        <v>74</v>
      </c>
      <c r="D24" s="54"/>
      <c r="E24" s="58"/>
      <c r="F24" s="59"/>
      <c r="G24" s="59"/>
      <c r="H24" s="59"/>
      <c r="I24" s="59"/>
      <c r="J24" s="59"/>
    </row>
    <row r="25">
      <c r="A25" s="184"/>
      <c r="B25" s="185"/>
      <c r="C25" s="179" t="s">
        <v>74</v>
      </c>
      <c r="D25" s="58"/>
      <c r="E25" s="58"/>
      <c r="F25" s="59"/>
      <c r="G25" s="59"/>
      <c r="H25" s="59"/>
      <c r="I25" s="59"/>
      <c r="J25" s="59"/>
    </row>
    <row r="26">
      <c r="A26" s="183"/>
      <c r="B26" s="58"/>
      <c r="C26" s="179" t="s">
        <v>74</v>
      </c>
      <c r="D26" s="58"/>
      <c r="E26" s="58"/>
      <c r="F26" s="59"/>
      <c r="G26" s="59"/>
      <c r="H26" s="59"/>
      <c r="I26" s="59"/>
      <c r="J26" s="59"/>
    </row>
    <row r="27">
      <c r="A27" s="170"/>
      <c r="E27" s="171"/>
      <c r="F27" s="59"/>
      <c r="G27" s="59"/>
      <c r="H27" s="59"/>
      <c r="I27" s="59"/>
      <c r="J27" s="59"/>
    </row>
    <row r="28">
      <c r="A28" s="172" t="s">
        <v>387</v>
      </c>
      <c r="B28" s="173"/>
      <c r="C28" s="173"/>
      <c r="D28" s="173"/>
      <c r="E28" s="174"/>
      <c r="F28" s="59"/>
      <c r="G28" s="59"/>
      <c r="H28" s="59"/>
      <c r="I28" s="59"/>
      <c r="J28" s="59"/>
    </row>
    <row r="29">
      <c r="A29" s="175" t="s">
        <v>359</v>
      </c>
      <c r="B29" s="175" t="s">
        <v>360</v>
      </c>
      <c r="C29" s="175" t="s">
        <v>361</v>
      </c>
      <c r="D29" s="176" t="s">
        <v>362</v>
      </c>
      <c r="E29" s="176" t="s">
        <v>363</v>
      </c>
      <c r="F29" s="59"/>
      <c r="G29" s="59"/>
      <c r="H29" s="59"/>
      <c r="I29" s="59"/>
      <c r="J29" s="59"/>
    </row>
    <row r="30">
      <c r="A30" s="177" t="s">
        <v>125</v>
      </c>
      <c r="B30" s="178" t="s">
        <v>388</v>
      </c>
      <c r="C30" s="179" t="s">
        <v>74</v>
      </c>
      <c r="D30" s="56"/>
      <c r="E30" s="58"/>
      <c r="F30" s="59"/>
      <c r="G30" s="59"/>
      <c r="H30" s="59"/>
      <c r="I30" s="59"/>
      <c r="J30" s="59"/>
    </row>
    <row r="31">
      <c r="A31" s="180" t="s">
        <v>380</v>
      </c>
      <c r="B31" s="178" t="s">
        <v>389</v>
      </c>
      <c r="C31" s="179" t="s">
        <v>74</v>
      </c>
      <c r="D31" s="58"/>
      <c r="E31" s="58"/>
      <c r="F31" s="59"/>
      <c r="G31" s="59"/>
      <c r="H31" s="59"/>
      <c r="I31" s="59"/>
      <c r="J31" s="59"/>
    </row>
    <row r="32">
      <c r="A32" s="180"/>
      <c r="B32" s="181"/>
      <c r="C32" s="179" t="s">
        <v>74</v>
      </c>
      <c r="D32" s="58"/>
      <c r="E32" s="58"/>
      <c r="F32" s="59"/>
      <c r="G32" s="59"/>
      <c r="H32" s="59"/>
      <c r="I32" s="59"/>
      <c r="J32" s="59"/>
    </row>
    <row r="33">
      <c r="A33" s="180"/>
      <c r="B33" s="181"/>
      <c r="C33" s="179" t="s">
        <v>74</v>
      </c>
      <c r="D33" s="58"/>
      <c r="E33" s="58"/>
      <c r="F33" s="59"/>
      <c r="G33" s="59"/>
      <c r="H33" s="59"/>
      <c r="I33" s="59"/>
      <c r="J33" s="59"/>
    </row>
    <row r="34">
      <c r="A34" s="180"/>
      <c r="B34" s="181"/>
      <c r="C34" s="179" t="s">
        <v>74</v>
      </c>
      <c r="D34" s="54"/>
      <c r="E34" s="58"/>
      <c r="F34" s="59"/>
      <c r="G34" s="59"/>
      <c r="H34" s="59"/>
      <c r="I34" s="59"/>
      <c r="J34" s="59"/>
    </row>
    <row r="35">
      <c r="A35" s="180"/>
      <c r="B35" s="180"/>
      <c r="C35" s="179" t="s">
        <v>74</v>
      </c>
      <c r="D35" s="58"/>
      <c r="E35" s="58"/>
      <c r="F35" s="59"/>
      <c r="G35" s="59"/>
      <c r="H35" s="59"/>
      <c r="I35" s="59"/>
      <c r="J35" s="59"/>
    </row>
    <row r="36">
      <c r="A36" s="180"/>
      <c r="B36" s="181"/>
      <c r="C36" s="179" t="s">
        <v>74</v>
      </c>
      <c r="D36" s="54"/>
      <c r="E36" s="58"/>
      <c r="F36" s="59"/>
      <c r="G36" s="59"/>
      <c r="H36" s="59"/>
      <c r="I36" s="59"/>
      <c r="J36" s="59"/>
    </row>
    <row r="37">
      <c r="A37" s="186"/>
      <c r="B37" s="58"/>
      <c r="C37" s="179" t="s">
        <v>74</v>
      </c>
      <c r="D37" s="58"/>
      <c r="E37" s="58"/>
      <c r="F37" s="59"/>
      <c r="G37" s="59"/>
      <c r="H37" s="59"/>
      <c r="I37" s="59"/>
      <c r="J37" s="59"/>
    </row>
    <row r="38">
      <c r="A38" s="183"/>
      <c r="B38" s="58"/>
      <c r="C38" s="179" t="s">
        <v>74</v>
      </c>
      <c r="D38" s="58"/>
      <c r="E38" s="58"/>
      <c r="F38" s="59"/>
      <c r="G38" s="59"/>
      <c r="H38" s="59"/>
      <c r="I38" s="59"/>
      <c r="J38" s="59"/>
    </row>
    <row r="39">
      <c r="A39" s="183"/>
      <c r="B39" s="58"/>
      <c r="C39" s="179" t="s">
        <v>74</v>
      </c>
      <c r="D39" s="58"/>
      <c r="E39" s="58"/>
      <c r="F39" s="59"/>
      <c r="G39" s="59"/>
      <c r="H39" s="59"/>
      <c r="I39" s="59"/>
      <c r="J39" s="59"/>
    </row>
    <row r="40">
      <c r="A40" s="170"/>
      <c r="E40" s="171"/>
      <c r="F40" s="59"/>
      <c r="G40" s="59"/>
      <c r="H40" s="59"/>
      <c r="I40" s="59"/>
      <c r="J40" s="59"/>
    </row>
    <row r="41">
      <c r="A41" s="172" t="s">
        <v>390</v>
      </c>
      <c r="B41" s="173"/>
      <c r="C41" s="173"/>
      <c r="D41" s="173"/>
      <c r="E41" s="174"/>
      <c r="F41" s="59"/>
      <c r="G41" s="59"/>
      <c r="H41" s="59"/>
      <c r="I41" s="59"/>
      <c r="J41" s="59"/>
    </row>
    <row r="42">
      <c r="A42" s="175" t="s">
        <v>359</v>
      </c>
      <c r="B42" s="175" t="s">
        <v>360</v>
      </c>
      <c r="C42" s="175" t="s">
        <v>361</v>
      </c>
      <c r="D42" s="176" t="s">
        <v>362</v>
      </c>
      <c r="E42" s="176" t="s">
        <v>363</v>
      </c>
      <c r="F42" s="59"/>
      <c r="G42" s="59"/>
      <c r="H42" s="59"/>
      <c r="I42" s="59"/>
      <c r="J42" s="59"/>
    </row>
    <row r="43">
      <c r="A43" s="180" t="s">
        <v>376</v>
      </c>
      <c r="B43" s="178" t="s">
        <v>391</v>
      </c>
      <c r="C43" s="179" t="s">
        <v>74</v>
      </c>
      <c r="D43" s="54" t="s">
        <v>392</v>
      </c>
      <c r="E43" s="54" t="s">
        <v>393</v>
      </c>
      <c r="F43" s="59"/>
      <c r="G43" s="59"/>
      <c r="H43" s="59"/>
      <c r="I43" s="59"/>
      <c r="J43" s="59"/>
    </row>
    <row r="44">
      <c r="A44" s="180" t="s">
        <v>125</v>
      </c>
      <c r="B44" s="178" t="s">
        <v>394</v>
      </c>
      <c r="C44" s="179" t="s">
        <v>74</v>
      </c>
      <c r="D44" s="54"/>
      <c r="E44" s="58"/>
      <c r="F44" s="59"/>
      <c r="G44" s="59"/>
      <c r="H44" s="59"/>
      <c r="I44" s="59"/>
      <c r="J44" s="59"/>
    </row>
    <row r="45">
      <c r="A45" s="180" t="s">
        <v>380</v>
      </c>
      <c r="B45" s="178" t="s">
        <v>395</v>
      </c>
      <c r="C45" s="179" t="s">
        <v>74</v>
      </c>
      <c r="D45" s="58"/>
      <c r="E45" s="58"/>
      <c r="F45" s="59"/>
      <c r="G45" s="59"/>
      <c r="H45" s="59"/>
      <c r="I45" s="59"/>
      <c r="J45" s="59"/>
    </row>
    <row r="46">
      <c r="A46" s="180" t="s">
        <v>364</v>
      </c>
      <c r="B46" s="181" t="s">
        <v>396</v>
      </c>
      <c r="C46" s="179" t="s">
        <v>74</v>
      </c>
      <c r="D46" s="53"/>
      <c r="E46" s="58"/>
      <c r="F46" s="59"/>
      <c r="G46" s="59"/>
      <c r="H46" s="59"/>
      <c r="I46" s="59"/>
      <c r="J46" s="59"/>
    </row>
    <row r="47">
      <c r="A47" s="180" t="s">
        <v>370</v>
      </c>
      <c r="B47" s="181" t="s">
        <v>397</v>
      </c>
      <c r="C47" s="179" t="s">
        <v>74</v>
      </c>
      <c r="D47" s="58"/>
      <c r="E47" s="58"/>
      <c r="F47" s="59"/>
      <c r="G47" s="59"/>
      <c r="H47" s="59"/>
      <c r="I47" s="59"/>
      <c r="J47" s="59"/>
    </row>
    <row r="48">
      <c r="A48" s="180" t="s">
        <v>372</v>
      </c>
      <c r="B48" s="181" t="s">
        <v>398</v>
      </c>
      <c r="C48" s="179" t="s">
        <v>74</v>
      </c>
      <c r="D48" s="187" t="s">
        <v>399</v>
      </c>
      <c r="E48" s="58"/>
      <c r="F48" s="59"/>
      <c r="G48" s="59"/>
      <c r="H48" s="59"/>
      <c r="I48" s="59"/>
      <c r="J48" s="59"/>
    </row>
    <row r="49">
      <c r="A49" s="180"/>
      <c r="B49" s="181"/>
      <c r="C49" s="179" t="s">
        <v>74</v>
      </c>
      <c r="D49" s="54"/>
      <c r="E49" s="58"/>
      <c r="F49" s="59"/>
      <c r="G49" s="59"/>
      <c r="H49" s="59"/>
      <c r="I49" s="59"/>
      <c r="J49" s="59"/>
    </row>
    <row r="50">
      <c r="A50" s="183"/>
      <c r="B50" s="58"/>
      <c r="C50" s="179" t="s">
        <v>74</v>
      </c>
      <c r="D50" s="58"/>
      <c r="E50" s="58"/>
      <c r="F50" s="59"/>
      <c r="G50" s="59"/>
      <c r="H50" s="59"/>
      <c r="I50" s="59"/>
      <c r="J50" s="59"/>
    </row>
    <row r="51">
      <c r="A51" s="183"/>
      <c r="B51" s="58"/>
      <c r="C51" s="179" t="s">
        <v>74</v>
      </c>
      <c r="D51" s="58"/>
      <c r="E51" s="58"/>
      <c r="F51" s="59"/>
      <c r="G51" s="59"/>
      <c r="H51" s="59"/>
      <c r="I51" s="59"/>
      <c r="J51" s="59"/>
    </row>
    <row r="52">
      <c r="A52" s="183"/>
      <c r="B52" s="58"/>
      <c r="C52" s="179" t="s">
        <v>74</v>
      </c>
      <c r="D52" s="58"/>
      <c r="E52" s="58"/>
      <c r="F52" s="59"/>
      <c r="G52" s="59"/>
      <c r="H52" s="59"/>
      <c r="I52" s="59"/>
      <c r="J52" s="59"/>
    </row>
  </sheetData>
  <mergeCells count="8">
    <mergeCell ref="A1:E1"/>
    <mergeCell ref="A2:E2"/>
    <mergeCell ref="A14:E14"/>
    <mergeCell ref="A15:E15"/>
    <mergeCell ref="A27:E27"/>
    <mergeCell ref="A28:E28"/>
    <mergeCell ref="A40:E40"/>
    <mergeCell ref="A41:E41"/>
  </mergeCells>
  <conditionalFormatting sqref="C4:C13 C17:C26 C30:C39 C43:C52">
    <cfRule type="cellIs" dxfId="7" priority="1" operator="equal">
      <formula>"Open"</formula>
    </cfRule>
  </conditionalFormatting>
  <conditionalFormatting sqref="C4:C13 C17:C26 C30:C39 C43:C52">
    <cfRule type="cellIs" dxfId="5" priority="2" operator="equal">
      <formula>"Yes"</formula>
    </cfRule>
  </conditionalFormatting>
  <conditionalFormatting sqref="C4:C13 C17:C26 C30:C39 C43:C52">
    <cfRule type="cellIs" dxfId="8" priority="3" operator="equal">
      <formula>"No"</formula>
    </cfRule>
  </conditionalFormatting>
  <dataValidations>
    <dataValidation type="list" allowBlank="1" sqref="C4:C13 C17:C26 C30:C39 C43:C52">
      <formula1>"Open,Yes,No"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</cols>
  <sheetData>
    <row r="1">
      <c r="A1" s="188" t="s">
        <v>400</v>
      </c>
    </row>
    <row r="2">
      <c r="A2" s="116" t="s">
        <v>401</v>
      </c>
      <c r="D2" s="189" t="s">
        <v>402</v>
      </c>
    </row>
    <row r="3">
      <c r="A3" s="116" t="s">
        <v>403</v>
      </c>
    </row>
    <row r="4">
      <c r="A4" s="116" t="s">
        <v>404</v>
      </c>
    </row>
    <row r="5">
      <c r="A5" s="116" t="s">
        <v>405</v>
      </c>
    </row>
    <row r="6">
      <c r="A6" s="116" t="s">
        <v>406</v>
      </c>
    </row>
    <row r="7">
      <c r="A7" s="116" t="s">
        <v>407</v>
      </c>
    </row>
    <row r="8">
      <c r="A8" s="116" t="s">
        <v>408</v>
      </c>
    </row>
    <row r="9">
      <c r="A9" s="167"/>
    </row>
    <row r="10">
      <c r="A10" s="190"/>
    </row>
    <row r="13">
      <c r="A13" s="19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1.63"/>
    <col customWidth="1" min="3" max="3" width="18.75"/>
    <col customWidth="1" min="4" max="4" width="18.88"/>
    <col customWidth="1" min="5" max="5" width="11.25"/>
    <col customWidth="1" min="6" max="6" width="11.75"/>
    <col customWidth="1" min="7" max="7" width="18.63"/>
    <col customWidth="1" min="9" max="9" width="9.75"/>
    <col customWidth="1" min="10" max="10" width="11.88"/>
    <col customWidth="1" min="11" max="11" width="18.13"/>
    <col customWidth="1" min="14" max="14" width="11.0"/>
    <col customWidth="1" min="15" max="15" width="18.25"/>
    <col customWidth="1" min="18" max="18" width="11.0"/>
    <col customWidth="1" min="19" max="19" width="18.25"/>
  </cols>
  <sheetData>
    <row r="1">
      <c r="A1" s="192"/>
      <c r="B1" s="193" t="s">
        <v>409</v>
      </c>
      <c r="M1" s="192"/>
    </row>
    <row r="2">
      <c r="L2" s="194"/>
    </row>
    <row r="3">
      <c r="A3" s="195"/>
      <c r="B3" s="196" t="s">
        <v>410</v>
      </c>
    </row>
    <row r="4">
      <c r="L4" s="194"/>
    </row>
    <row r="5">
      <c r="B5" s="197" t="s">
        <v>4</v>
      </c>
      <c r="C5" s="198"/>
      <c r="D5" s="199"/>
      <c r="F5" s="197" t="s">
        <v>5</v>
      </c>
      <c r="G5" s="198"/>
      <c r="H5" s="199"/>
      <c r="J5" s="197" t="s">
        <v>411</v>
      </c>
      <c r="K5" s="198"/>
      <c r="L5" s="199"/>
      <c r="N5" s="197" t="s">
        <v>7</v>
      </c>
      <c r="O5" s="198"/>
      <c r="P5" s="199"/>
      <c r="R5" s="197" t="s">
        <v>13</v>
      </c>
      <c r="S5" s="198"/>
      <c r="T5" s="199"/>
    </row>
    <row r="6">
      <c r="B6" s="200"/>
      <c r="C6" s="201" t="s">
        <v>412</v>
      </c>
      <c r="D6" s="202" t="s">
        <v>413</v>
      </c>
      <c r="F6" s="200"/>
      <c r="G6" s="201" t="s">
        <v>412</v>
      </c>
      <c r="H6" s="202" t="s">
        <v>413</v>
      </c>
      <c r="J6" s="200"/>
      <c r="K6" s="201" t="s">
        <v>412</v>
      </c>
      <c r="L6" s="202" t="s">
        <v>413</v>
      </c>
      <c r="N6" s="200"/>
      <c r="O6" s="201" t="s">
        <v>412</v>
      </c>
      <c r="P6" s="202" t="s">
        <v>413</v>
      </c>
      <c r="R6" s="200"/>
      <c r="S6" s="201" t="s">
        <v>412</v>
      </c>
      <c r="T6" s="202" t="s">
        <v>413</v>
      </c>
    </row>
    <row r="7">
      <c r="B7" s="203" t="s">
        <v>414</v>
      </c>
      <c r="C7" s="204" t="b">
        <v>0</v>
      </c>
      <c r="D7" s="205" t="b">
        <v>0</v>
      </c>
      <c r="F7" s="206" t="s">
        <v>414</v>
      </c>
      <c r="G7" s="205" t="b">
        <v>0</v>
      </c>
      <c r="H7" s="205" t="b">
        <v>0</v>
      </c>
      <c r="J7" s="206" t="s">
        <v>414</v>
      </c>
      <c r="K7" s="205" t="b">
        <v>0</v>
      </c>
      <c r="L7" s="205" t="b">
        <v>0</v>
      </c>
      <c r="N7" s="206" t="s">
        <v>414</v>
      </c>
      <c r="O7" s="205" t="b">
        <v>0</v>
      </c>
      <c r="P7" s="205" t="b">
        <v>0</v>
      </c>
      <c r="R7" s="206" t="s">
        <v>414</v>
      </c>
      <c r="S7" s="205" t="b">
        <v>0</v>
      </c>
      <c r="T7" s="205" t="b">
        <v>0</v>
      </c>
    </row>
    <row r="8">
      <c r="B8" s="207"/>
      <c r="C8" s="208"/>
      <c r="L8" s="194"/>
    </row>
    <row r="9">
      <c r="L9" s="194"/>
    </row>
    <row r="10">
      <c r="L10" s="194"/>
    </row>
    <row r="11">
      <c r="A11" s="195"/>
      <c r="B11" s="196" t="s">
        <v>415</v>
      </c>
    </row>
    <row r="12">
      <c r="L12" s="194"/>
    </row>
    <row r="13">
      <c r="B13" s="197" t="s">
        <v>8</v>
      </c>
      <c r="C13" s="198"/>
      <c r="D13" s="199"/>
      <c r="F13" s="197" t="s">
        <v>9</v>
      </c>
      <c r="G13" s="198"/>
      <c r="H13" s="199"/>
      <c r="J13" s="197" t="s">
        <v>10</v>
      </c>
      <c r="K13" s="198"/>
      <c r="L13" s="199"/>
      <c r="N13" s="197" t="s">
        <v>11</v>
      </c>
      <c r="O13" s="198"/>
      <c r="P13" s="199"/>
      <c r="R13" s="197" t="s">
        <v>12</v>
      </c>
      <c r="S13" s="198"/>
      <c r="T13" s="199"/>
    </row>
    <row r="14">
      <c r="B14" s="200"/>
      <c r="C14" s="201" t="s">
        <v>412</v>
      </c>
      <c r="D14" s="202" t="s">
        <v>413</v>
      </c>
      <c r="F14" s="200"/>
      <c r="G14" s="201" t="s">
        <v>412</v>
      </c>
      <c r="H14" s="202" t="s">
        <v>413</v>
      </c>
      <c r="J14" s="200"/>
      <c r="K14" s="201" t="s">
        <v>412</v>
      </c>
      <c r="L14" s="202" t="s">
        <v>413</v>
      </c>
      <c r="N14" s="200"/>
      <c r="O14" s="201" t="s">
        <v>412</v>
      </c>
      <c r="P14" s="202" t="s">
        <v>413</v>
      </c>
      <c r="R14" s="200"/>
      <c r="S14" s="201" t="s">
        <v>412</v>
      </c>
      <c r="T14" s="202" t="s">
        <v>413</v>
      </c>
    </row>
    <row r="15">
      <c r="B15" s="203" t="s">
        <v>414</v>
      </c>
      <c r="C15" s="204" t="b">
        <v>0</v>
      </c>
      <c r="D15" s="205" t="b">
        <v>0</v>
      </c>
      <c r="F15" s="203" t="s">
        <v>414</v>
      </c>
      <c r="G15" s="204" t="b">
        <v>0</v>
      </c>
      <c r="H15" s="205" t="b">
        <v>0</v>
      </c>
      <c r="J15" s="203" t="s">
        <v>414</v>
      </c>
      <c r="K15" s="204" t="b">
        <v>0</v>
      </c>
      <c r="L15" s="205" t="b">
        <v>0</v>
      </c>
      <c r="N15" s="203" t="s">
        <v>414</v>
      </c>
      <c r="O15" s="204" t="b">
        <v>0</v>
      </c>
      <c r="P15" s="205" t="b">
        <v>0</v>
      </c>
      <c r="R15" s="203" t="s">
        <v>414</v>
      </c>
      <c r="S15" s="204" t="b">
        <v>1</v>
      </c>
      <c r="T15" s="205" t="b">
        <v>1</v>
      </c>
    </row>
    <row r="16">
      <c r="B16" s="203" t="s">
        <v>416</v>
      </c>
      <c r="C16" s="204" t="b">
        <v>0</v>
      </c>
      <c r="D16" s="205" t="b">
        <v>0</v>
      </c>
      <c r="F16" s="203" t="s">
        <v>416</v>
      </c>
      <c r="G16" s="204" t="b">
        <v>0</v>
      </c>
      <c r="H16" s="205" t="b">
        <v>0</v>
      </c>
      <c r="J16" s="203" t="s">
        <v>416</v>
      </c>
      <c r="K16" s="204" t="b">
        <v>0</v>
      </c>
      <c r="L16" s="205" t="b">
        <v>0</v>
      </c>
      <c r="N16" s="203" t="s">
        <v>416</v>
      </c>
      <c r="O16" s="204" t="b">
        <v>0</v>
      </c>
      <c r="P16" s="205" t="b">
        <v>0</v>
      </c>
      <c r="R16" s="203" t="s">
        <v>416</v>
      </c>
      <c r="S16" s="204" t="b">
        <v>0</v>
      </c>
      <c r="T16" s="205" t="b">
        <v>0</v>
      </c>
    </row>
    <row r="17">
      <c r="B17" s="203" t="s">
        <v>417</v>
      </c>
      <c r="C17" s="204" t="b">
        <v>0</v>
      </c>
      <c r="D17" s="205" t="b">
        <v>0</v>
      </c>
      <c r="F17" s="206" t="s">
        <v>417</v>
      </c>
      <c r="G17" s="205" t="b">
        <v>0</v>
      </c>
      <c r="H17" s="205" t="b">
        <v>0</v>
      </c>
      <c r="J17" s="206" t="s">
        <v>417</v>
      </c>
      <c r="K17" s="205" t="b">
        <v>0</v>
      </c>
      <c r="L17" s="205" t="b">
        <v>0</v>
      </c>
      <c r="N17" s="206" t="s">
        <v>417</v>
      </c>
      <c r="O17" s="205" t="b">
        <v>0</v>
      </c>
      <c r="P17" s="205" t="b">
        <v>0</v>
      </c>
      <c r="R17" s="206" t="s">
        <v>417</v>
      </c>
      <c r="S17" s="205" t="b">
        <v>0</v>
      </c>
      <c r="T17" s="205" t="b">
        <v>0</v>
      </c>
    </row>
    <row r="18">
      <c r="B18" s="209"/>
      <c r="C18" s="208"/>
      <c r="L18" s="194"/>
    </row>
    <row r="19">
      <c r="B19" s="210"/>
      <c r="C19" s="211"/>
      <c r="L19" s="194"/>
    </row>
    <row r="20">
      <c r="L20" s="194"/>
    </row>
    <row r="21">
      <c r="A21" s="195"/>
      <c r="B21" s="196" t="s">
        <v>418</v>
      </c>
      <c r="L21" s="194"/>
    </row>
    <row r="22">
      <c r="G22" s="212" t="s">
        <v>419</v>
      </c>
      <c r="H22" s="174"/>
      <c r="L22" s="194"/>
    </row>
    <row r="23">
      <c r="B23" s="197" t="s">
        <v>234</v>
      </c>
      <c r="C23" s="198"/>
      <c r="D23" s="198"/>
      <c r="E23" s="199"/>
      <c r="G23" s="213"/>
      <c r="H23" s="214"/>
      <c r="L23" s="194"/>
    </row>
    <row r="24">
      <c r="A24" s="194"/>
      <c r="B24" s="215"/>
      <c r="C24" s="216"/>
      <c r="D24" s="202" t="s">
        <v>412</v>
      </c>
      <c r="E24" s="217" t="s">
        <v>420</v>
      </c>
      <c r="F24" s="194"/>
      <c r="G24" s="218"/>
      <c r="H24" s="219"/>
      <c r="I24" s="194"/>
      <c r="J24" s="220"/>
      <c r="K24" s="220"/>
      <c r="L24" s="194"/>
    </row>
    <row r="25">
      <c r="A25" s="194"/>
      <c r="B25" s="221" t="s">
        <v>421</v>
      </c>
      <c r="C25" s="174"/>
      <c r="D25" s="205" t="b">
        <v>0</v>
      </c>
      <c r="E25" s="205" t="b">
        <v>0</v>
      </c>
      <c r="F25" s="222"/>
      <c r="G25" s="218"/>
      <c r="H25" s="219"/>
      <c r="I25" s="194"/>
      <c r="J25" s="223"/>
      <c r="K25" s="220"/>
      <c r="L25" s="194"/>
    </row>
    <row r="26">
      <c r="A26" s="194"/>
      <c r="B26" s="221" t="s">
        <v>422</v>
      </c>
      <c r="C26" s="174"/>
      <c r="D26" s="205" t="b">
        <v>0</v>
      </c>
      <c r="E26" s="205" t="b">
        <v>0</v>
      </c>
      <c r="F26" s="224"/>
      <c r="G26" s="218"/>
      <c r="H26" s="219"/>
      <c r="I26" s="194"/>
      <c r="J26" s="220"/>
      <c r="K26" s="220"/>
      <c r="L26" s="194"/>
    </row>
    <row r="27">
      <c r="E27" s="194"/>
      <c r="F27" s="225"/>
      <c r="G27" s="226"/>
      <c r="H27" s="219"/>
      <c r="I27" s="194"/>
      <c r="J27" s="227"/>
      <c r="K27" s="228"/>
      <c r="L27" s="194"/>
    </row>
    <row r="28">
      <c r="A28" s="194"/>
      <c r="D28" s="194"/>
      <c r="E28" s="194"/>
      <c r="F28" s="194"/>
      <c r="G28" s="218"/>
      <c r="H28" s="219"/>
    </row>
    <row r="29">
      <c r="A29" s="194"/>
      <c r="B29" s="225"/>
      <c r="C29" s="229"/>
      <c r="D29" s="194"/>
      <c r="E29" s="194"/>
      <c r="F29" s="194"/>
      <c r="G29" s="230"/>
      <c r="H29" s="231"/>
    </row>
    <row r="30">
      <c r="A30" s="194"/>
      <c r="B30" s="194"/>
      <c r="C30" s="194"/>
      <c r="D30" s="194"/>
      <c r="E30" s="194"/>
      <c r="F30" s="194"/>
      <c r="G30" s="194"/>
      <c r="H30" s="194"/>
    </row>
  </sheetData>
  <mergeCells count="18">
    <mergeCell ref="B1:L1"/>
    <mergeCell ref="B3:L3"/>
    <mergeCell ref="B5:D5"/>
    <mergeCell ref="F5:H5"/>
    <mergeCell ref="J5:L5"/>
    <mergeCell ref="N5:P5"/>
    <mergeCell ref="R5:T5"/>
    <mergeCell ref="B21:E21"/>
    <mergeCell ref="B23:E23"/>
    <mergeCell ref="B25:C25"/>
    <mergeCell ref="B26:C26"/>
    <mergeCell ref="B11:L11"/>
    <mergeCell ref="B13:D13"/>
    <mergeCell ref="F13:H13"/>
    <mergeCell ref="J13:L13"/>
    <mergeCell ref="N13:P13"/>
    <mergeCell ref="R13:T13"/>
    <mergeCell ref="G22:H22"/>
  </mergeCells>
  <conditionalFormatting sqref="C4 G4 K4 C6:C8 G6:G7 K6:K7 O6:O7 S6:S7 D7 H7 L7 P7 T7 G9:G10 K9:K10 C10 C12 G12 K12 C14:C19 G14:G18 K14:K18 O14:O17 S14:S17 D15:D17 H15:H17 L15:L17 P15:P17 T15:T17 G20:G27 K20:K23 C22 C24 D24:D27 E25:E26 C28:C29">
    <cfRule type="cellIs" dxfId="5" priority="1" operator="equal">
      <formula>"TRUE"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6" max="6" width="18.63"/>
    <col customWidth="1" min="7" max="7" width="13.0"/>
    <col customWidth="1" min="10" max="10" width="17.88"/>
  </cols>
  <sheetData>
    <row r="1">
      <c r="A1" s="193" t="s">
        <v>423</v>
      </c>
      <c r="L1" s="194"/>
    </row>
    <row r="2">
      <c r="L2" s="194"/>
      <c r="O2" s="196" t="s">
        <v>424</v>
      </c>
    </row>
    <row r="3">
      <c r="A3" s="196" t="s">
        <v>425</v>
      </c>
      <c r="L3" s="194"/>
    </row>
    <row r="4">
      <c r="L4" s="194"/>
    </row>
    <row r="5">
      <c r="A5" s="232"/>
      <c r="B5" s="197" t="s">
        <v>426</v>
      </c>
      <c r="C5" s="199"/>
      <c r="D5" s="232"/>
      <c r="E5" s="232"/>
      <c r="F5" s="197" t="s">
        <v>5</v>
      </c>
      <c r="G5" s="199"/>
      <c r="H5" s="232"/>
      <c r="I5" s="233"/>
      <c r="J5" s="197" t="s">
        <v>411</v>
      </c>
      <c r="K5" s="199"/>
      <c r="L5" s="194"/>
      <c r="O5" s="197" t="s">
        <v>8</v>
      </c>
      <c r="P5" s="199"/>
      <c r="Q5" s="232"/>
      <c r="R5" s="232"/>
      <c r="S5" s="197" t="s">
        <v>9</v>
      </c>
      <c r="T5" s="199"/>
      <c r="U5" s="232"/>
      <c r="V5" s="233"/>
      <c r="W5" s="197" t="s">
        <v>10</v>
      </c>
      <c r="X5" s="199"/>
    </row>
    <row r="6">
      <c r="A6" s="232"/>
      <c r="B6" s="234"/>
      <c r="C6" s="235"/>
      <c r="D6" s="232"/>
      <c r="E6" s="232"/>
      <c r="F6" s="234"/>
      <c r="G6" s="235"/>
      <c r="H6" s="232"/>
      <c r="I6" s="233"/>
      <c r="J6" s="234"/>
      <c r="K6" s="235"/>
      <c r="L6" s="194"/>
      <c r="O6" s="234"/>
      <c r="P6" s="235"/>
      <c r="Q6" s="232"/>
      <c r="R6" s="232"/>
      <c r="S6" s="234"/>
      <c r="T6" s="235"/>
      <c r="U6" s="232"/>
      <c r="V6" s="233"/>
      <c r="W6" s="234"/>
      <c r="X6" s="235"/>
    </row>
    <row r="7">
      <c r="A7" s="232"/>
      <c r="B7" s="236" t="s">
        <v>427</v>
      </c>
      <c r="C7" s="237" t="b">
        <v>0</v>
      </c>
      <c r="D7" s="232"/>
      <c r="E7" s="232"/>
      <c r="F7" s="236" t="s">
        <v>427</v>
      </c>
      <c r="G7" s="237" t="b">
        <v>0</v>
      </c>
      <c r="H7" s="232"/>
      <c r="I7" s="233"/>
      <c r="J7" s="236" t="s">
        <v>427</v>
      </c>
      <c r="K7" s="205" t="b">
        <v>0</v>
      </c>
      <c r="L7" s="194"/>
      <c r="O7" s="236" t="s">
        <v>428</v>
      </c>
      <c r="P7" s="205" t="b">
        <v>0</v>
      </c>
      <c r="Q7" s="232"/>
      <c r="R7" s="232"/>
      <c r="S7" s="236" t="s">
        <v>428</v>
      </c>
      <c r="T7" s="205" t="b">
        <v>1</v>
      </c>
      <c r="U7" s="232"/>
      <c r="V7" s="233"/>
      <c r="W7" s="236" t="s">
        <v>428</v>
      </c>
      <c r="X7" s="205" t="b">
        <v>1</v>
      </c>
    </row>
    <row r="8">
      <c r="A8" s="232"/>
      <c r="B8" s="236" t="s">
        <v>429</v>
      </c>
      <c r="C8" s="237" t="b">
        <v>0</v>
      </c>
      <c r="D8" s="232"/>
      <c r="E8" s="232"/>
      <c r="F8" s="236" t="s">
        <v>429</v>
      </c>
      <c r="G8" s="205" t="b">
        <v>0</v>
      </c>
      <c r="H8" s="232"/>
      <c r="I8" s="232"/>
      <c r="J8" s="236" t="s">
        <v>429</v>
      </c>
      <c r="K8" s="237" t="b">
        <v>0</v>
      </c>
      <c r="L8" s="194"/>
      <c r="O8" s="236" t="s">
        <v>430</v>
      </c>
      <c r="P8" s="205" t="b">
        <v>0</v>
      </c>
      <c r="Q8" s="232"/>
      <c r="R8" s="232"/>
      <c r="S8" s="236" t="s">
        <v>430</v>
      </c>
      <c r="T8" s="205" t="b">
        <v>0</v>
      </c>
      <c r="U8" s="232"/>
      <c r="V8" s="233"/>
      <c r="W8" s="236" t="s">
        <v>430</v>
      </c>
      <c r="X8" s="205" t="b">
        <v>0</v>
      </c>
    </row>
    <row r="9">
      <c r="A9" s="232"/>
      <c r="B9" s="232"/>
      <c r="C9" s="232"/>
      <c r="D9" s="232"/>
      <c r="E9" s="232"/>
      <c r="F9" s="232"/>
      <c r="G9" s="232"/>
      <c r="H9" s="232"/>
      <c r="I9" s="233"/>
      <c r="J9" s="233"/>
      <c r="K9" s="233"/>
      <c r="L9" s="194"/>
      <c r="O9" s="236" t="s">
        <v>431</v>
      </c>
      <c r="P9" s="205" t="b">
        <v>0</v>
      </c>
      <c r="Q9" s="232"/>
      <c r="R9" s="232"/>
      <c r="S9" s="236" t="s">
        <v>431</v>
      </c>
      <c r="T9" s="205" t="b">
        <v>1</v>
      </c>
      <c r="U9" s="232"/>
      <c r="V9" s="233"/>
      <c r="W9" s="236" t="s">
        <v>431</v>
      </c>
      <c r="X9" s="205" t="b">
        <v>1</v>
      </c>
    </row>
    <row r="10">
      <c r="A10" s="232"/>
      <c r="B10" s="197" t="s">
        <v>7</v>
      </c>
      <c r="C10" s="199"/>
      <c r="D10" s="232"/>
      <c r="E10" s="232"/>
      <c r="F10" s="197" t="s">
        <v>13</v>
      </c>
      <c r="G10" s="199"/>
      <c r="H10" s="232"/>
      <c r="I10" s="233"/>
      <c r="J10" s="233"/>
      <c r="K10" s="233"/>
      <c r="L10" s="194"/>
      <c r="O10" s="236" t="s">
        <v>432</v>
      </c>
      <c r="P10" s="205" t="b">
        <v>0</v>
      </c>
      <c r="Q10" s="232"/>
      <c r="R10" s="232"/>
      <c r="S10" s="236" t="s">
        <v>432</v>
      </c>
      <c r="T10" s="205" t="b">
        <v>0</v>
      </c>
      <c r="U10" s="232"/>
      <c r="V10" s="233"/>
      <c r="W10" s="236" t="s">
        <v>432</v>
      </c>
      <c r="X10" s="205" t="b">
        <v>1</v>
      </c>
    </row>
    <row r="11">
      <c r="A11" s="232"/>
      <c r="B11" s="234"/>
      <c r="C11" s="235"/>
      <c r="D11" s="232"/>
      <c r="E11" s="232"/>
      <c r="F11" s="234"/>
      <c r="G11" s="235"/>
      <c r="H11" s="232"/>
      <c r="I11" s="233"/>
      <c r="J11" s="233"/>
      <c r="K11" s="233"/>
      <c r="L11" s="194"/>
      <c r="O11" s="238"/>
      <c r="P11" s="204"/>
      <c r="Q11" s="232"/>
      <c r="R11" s="232"/>
      <c r="S11" s="238"/>
      <c r="T11" s="204"/>
      <c r="U11" s="232"/>
      <c r="V11" s="233"/>
      <c r="W11" s="238"/>
      <c r="X11" s="204"/>
    </row>
    <row r="12">
      <c r="A12" s="232"/>
      <c r="B12" s="236" t="s">
        <v>427</v>
      </c>
      <c r="C12" s="237" t="b">
        <v>0</v>
      </c>
      <c r="D12" s="232"/>
      <c r="E12" s="232"/>
      <c r="F12" s="236" t="s">
        <v>427</v>
      </c>
      <c r="G12" s="205" t="b">
        <v>0</v>
      </c>
      <c r="H12" s="232"/>
      <c r="I12" s="233"/>
      <c r="J12" s="233"/>
      <c r="K12" s="233"/>
      <c r="L12" s="194"/>
      <c r="O12" s="239"/>
      <c r="P12" s="211"/>
      <c r="Q12" s="232"/>
      <c r="R12" s="232"/>
      <c r="S12" s="239"/>
      <c r="T12" s="211"/>
      <c r="U12" s="232"/>
      <c r="V12" s="232"/>
      <c r="W12" s="239"/>
      <c r="X12" s="211"/>
    </row>
    <row r="13">
      <c r="A13" s="232"/>
      <c r="B13" s="236" t="s">
        <v>429</v>
      </c>
      <c r="C13" s="237" t="b">
        <v>0</v>
      </c>
      <c r="D13" s="232"/>
      <c r="E13" s="232"/>
      <c r="F13" s="236" t="s">
        <v>429</v>
      </c>
      <c r="G13" s="237" t="b">
        <v>0</v>
      </c>
      <c r="H13" s="232"/>
      <c r="I13" s="232"/>
      <c r="J13" s="232"/>
      <c r="K13" s="232"/>
      <c r="O13" s="240"/>
      <c r="P13" s="229"/>
      <c r="Q13" s="233"/>
      <c r="R13" s="233"/>
      <c r="S13" s="240"/>
      <c r="T13" s="229"/>
      <c r="U13" s="233"/>
      <c r="V13" s="233"/>
      <c r="W13" s="241"/>
      <c r="X13" s="228"/>
    </row>
    <row r="14">
      <c r="A14" s="232"/>
      <c r="B14" s="232"/>
      <c r="C14" s="232"/>
      <c r="D14" s="232"/>
      <c r="E14" s="232"/>
      <c r="F14" s="232"/>
      <c r="G14" s="232"/>
      <c r="H14" s="232"/>
      <c r="I14" s="232"/>
      <c r="J14" s="232"/>
      <c r="K14" s="232"/>
      <c r="O14" s="240"/>
      <c r="P14" s="229"/>
      <c r="Q14" s="233"/>
      <c r="R14" s="233"/>
      <c r="S14" s="240"/>
      <c r="T14" s="229"/>
      <c r="U14" s="233"/>
      <c r="V14" s="233"/>
      <c r="W14" s="241"/>
      <c r="X14" s="228"/>
    </row>
    <row r="15">
      <c r="A15" s="196" t="s">
        <v>433</v>
      </c>
      <c r="L15" s="194"/>
      <c r="O15" s="197" t="s">
        <v>11</v>
      </c>
      <c r="P15" s="199"/>
      <c r="Q15" s="232"/>
      <c r="R15" s="232"/>
      <c r="S15" s="197" t="s">
        <v>12</v>
      </c>
      <c r="T15" s="199"/>
      <c r="U15" s="233"/>
      <c r="V15" s="233"/>
      <c r="W15" s="241"/>
      <c r="X15" s="228"/>
    </row>
    <row r="16">
      <c r="A16" s="232"/>
      <c r="B16" s="232"/>
      <c r="C16" s="232"/>
      <c r="D16" s="232"/>
      <c r="E16" s="232"/>
      <c r="F16" s="232"/>
      <c r="G16" s="232"/>
      <c r="H16" s="232"/>
      <c r="I16" s="233"/>
      <c r="J16" s="232"/>
      <c r="K16" s="232"/>
      <c r="L16" s="194"/>
      <c r="O16" s="234"/>
      <c r="P16" s="235"/>
      <c r="Q16" s="232"/>
      <c r="R16" s="232"/>
      <c r="S16" s="234"/>
      <c r="T16" s="235"/>
      <c r="U16" s="233"/>
      <c r="V16" s="233"/>
      <c r="W16" s="241"/>
      <c r="X16" s="228"/>
    </row>
    <row r="17">
      <c r="A17" s="232"/>
      <c r="B17" s="197" t="s">
        <v>8</v>
      </c>
      <c r="C17" s="199"/>
      <c r="D17" s="232"/>
      <c r="E17" s="232"/>
      <c r="F17" s="197" t="s">
        <v>9</v>
      </c>
      <c r="G17" s="199"/>
      <c r="H17" s="232"/>
      <c r="I17" s="233"/>
      <c r="J17" s="197" t="s">
        <v>10</v>
      </c>
      <c r="K17" s="199"/>
      <c r="L17" s="194"/>
      <c r="O17" s="236" t="s">
        <v>428</v>
      </c>
      <c r="P17" s="205" t="b">
        <v>0</v>
      </c>
      <c r="Q17" s="232"/>
      <c r="R17" s="232"/>
      <c r="S17" s="236" t="s">
        <v>428</v>
      </c>
      <c r="T17" s="205" t="b">
        <v>1</v>
      </c>
      <c r="U17" s="233"/>
      <c r="V17" s="233"/>
      <c r="W17" s="241"/>
      <c r="X17" s="228"/>
    </row>
    <row r="18">
      <c r="A18" s="232"/>
      <c r="B18" s="234"/>
      <c r="C18" s="235"/>
      <c r="D18" s="232"/>
      <c r="E18" s="232"/>
      <c r="F18" s="234"/>
      <c r="G18" s="235"/>
      <c r="H18" s="232"/>
      <c r="I18" s="233"/>
      <c r="J18" s="234"/>
      <c r="K18" s="235"/>
      <c r="L18" s="194"/>
      <c r="O18" s="236" t="s">
        <v>430</v>
      </c>
      <c r="P18" s="205" t="b">
        <v>0</v>
      </c>
      <c r="Q18" s="232"/>
      <c r="R18" s="232"/>
      <c r="S18" s="236" t="s">
        <v>430</v>
      </c>
      <c r="T18" s="205" t="b">
        <v>1</v>
      </c>
      <c r="U18" s="233"/>
      <c r="V18" s="232"/>
      <c r="W18" s="232"/>
      <c r="X18" s="232"/>
    </row>
    <row r="19">
      <c r="A19" s="232"/>
      <c r="B19" s="236" t="s">
        <v>428</v>
      </c>
      <c r="C19" s="205" t="b">
        <v>0</v>
      </c>
      <c r="D19" s="232"/>
      <c r="E19" s="232"/>
      <c r="F19" s="236" t="s">
        <v>428</v>
      </c>
      <c r="G19" s="205" t="b">
        <v>0</v>
      </c>
      <c r="H19" s="232"/>
      <c r="I19" s="233"/>
      <c r="J19" s="236" t="s">
        <v>428</v>
      </c>
      <c r="K19" s="205" t="b">
        <v>0</v>
      </c>
      <c r="L19" s="194"/>
      <c r="O19" s="236" t="s">
        <v>431</v>
      </c>
      <c r="P19" s="205" t="b">
        <v>0</v>
      </c>
      <c r="Q19" s="232"/>
      <c r="R19" s="232"/>
      <c r="S19" s="236" t="s">
        <v>431</v>
      </c>
      <c r="T19" s="205" t="b">
        <v>1</v>
      </c>
      <c r="U19" s="233"/>
      <c r="V19" s="232"/>
      <c r="W19" s="232"/>
      <c r="X19" s="232"/>
    </row>
    <row r="20">
      <c r="A20" s="232"/>
      <c r="B20" s="236" t="s">
        <v>430</v>
      </c>
      <c r="C20" s="205" t="b">
        <v>0</v>
      </c>
      <c r="D20" s="232"/>
      <c r="E20" s="232"/>
      <c r="F20" s="236" t="s">
        <v>430</v>
      </c>
      <c r="G20" s="205" t="b">
        <v>0</v>
      </c>
      <c r="H20" s="232"/>
      <c r="I20" s="233"/>
      <c r="J20" s="236" t="s">
        <v>430</v>
      </c>
      <c r="K20" s="205" t="b">
        <v>0</v>
      </c>
      <c r="L20" s="194"/>
      <c r="O20" s="236" t="s">
        <v>432</v>
      </c>
      <c r="P20" s="205" t="b">
        <v>0</v>
      </c>
      <c r="Q20" s="232"/>
      <c r="R20" s="232"/>
      <c r="S20" s="236" t="s">
        <v>432</v>
      </c>
      <c r="T20" s="205" t="b">
        <v>1</v>
      </c>
      <c r="U20" s="233"/>
      <c r="V20" s="232"/>
      <c r="W20" s="232"/>
      <c r="X20" s="232"/>
    </row>
    <row r="21">
      <c r="A21" s="232"/>
      <c r="B21" s="236" t="s">
        <v>431</v>
      </c>
      <c r="C21" s="205" t="b">
        <v>0</v>
      </c>
      <c r="D21" s="232"/>
      <c r="E21" s="232"/>
      <c r="F21" s="236" t="s">
        <v>431</v>
      </c>
      <c r="G21" s="205" t="b">
        <v>0</v>
      </c>
      <c r="H21" s="232"/>
      <c r="I21" s="233"/>
      <c r="J21" s="236" t="s">
        <v>431</v>
      </c>
      <c r="K21" s="205" t="b">
        <v>0</v>
      </c>
      <c r="L21" s="194"/>
      <c r="O21" s="238"/>
      <c r="P21" s="204"/>
      <c r="Q21" s="232"/>
      <c r="R21" s="232"/>
      <c r="S21" s="238"/>
      <c r="T21" s="204"/>
      <c r="U21" s="233"/>
      <c r="V21" s="232"/>
      <c r="W21" s="232"/>
      <c r="X21" s="232"/>
    </row>
    <row r="22">
      <c r="A22" s="232"/>
      <c r="B22" s="236" t="s">
        <v>432</v>
      </c>
      <c r="C22" s="205" t="b">
        <v>0</v>
      </c>
      <c r="D22" s="232"/>
      <c r="E22" s="232"/>
      <c r="F22" s="236" t="s">
        <v>432</v>
      </c>
      <c r="G22" s="205" t="b">
        <v>0</v>
      </c>
      <c r="H22" s="232"/>
      <c r="I22" s="233"/>
      <c r="J22" s="236" t="s">
        <v>432</v>
      </c>
      <c r="K22" s="205" t="b">
        <v>0</v>
      </c>
      <c r="L22" s="194"/>
    </row>
    <row r="23">
      <c r="A23" s="232"/>
      <c r="B23" s="236" t="s">
        <v>434</v>
      </c>
      <c r="C23" s="205" t="b">
        <v>0</v>
      </c>
      <c r="D23" s="232"/>
      <c r="E23" s="232"/>
      <c r="F23" s="236" t="s">
        <v>434</v>
      </c>
      <c r="G23" s="205" t="b">
        <v>0</v>
      </c>
      <c r="H23" s="232"/>
      <c r="I23" s="233"/>
      <c r="J23" s="236" t="s">
        <v>434</v>
      </c>
      <c r="K23" s="205" t="b">
        <v>0</v>
      </c>
      <c r="L23" s="194"/>
    </row>
    <row r="24">
      <c r="A24" s="233"/>
      <c r="B24" s="236" t="s">
        <v>435</v>
      </c>
      <c r="C24" s="205" t="b">
        <v>0</v>
      </c>
      <c r="D24" s="232"/>
      <c r="E24" s="232"/>
      <c r="F24" s="236" t="s">
        <v>435</v>
      </c>
      <c r="G24" s="205" t="b">
        <v>0</v>
      </c>
      <c r="H24" s="232"/>
      <c r="I24" s="233"/>
      <c r="J24" s="236" t="s">
        <v>435</v>
      </c>
      <c r="K24" s="205" t="b">
        <v>0</v>
      </c>
      <c r="L24" s="194"/>
    </row>
    <row r="25">
      <c r="A25" s="233"/>
      <c r="B25" s="240"/>
      <c r="C25" s="229"/>
      <c r="D25" s="233"/>
      <c r="E25" s="233"/>
      <c r="F25" s="240"/>
      <c r="G25" s="229"/>
      <c r="H25" s="233"/>
      <c r="I25" s="233"/>
      <c r="J25" s="241"/>
      <c r="K25" s="228"/>
      <c r="L25" s="194"/>
      <c r="O25" s="196" t="s">
        <v>436</v>
      </c>
    </row>
    <row r="26">
      <c r="A26" s="233"/>
      <c r="B26" s="240"/>
      <c r="C26" s="229"/>
      <c r="D26" s="233"/>
      <c r="E26" s="233"/>
      <c r="F26" s="240"/>
      <c r="G26" s="229"/>
      <c r="H26" s="233"/>
      <c r="I26" s="233"/>
      <c r="J26" s="241"/>
      <c r="K26" s="228"/>
      <c r="L26" s="194"/>
    </row>
    <row r="27">
      <c r="A27" s="233"/>
      <c r="B27" s="197" t="s">
        <v>11</v>
      </c>
      <c r="C27" s="199"/>
      <c r="D27" s="232"/>
      <c r="E27" s="232"/>
      <c r="F27" s="197" t="s">
        <v>12</v>
      </c>
      <c r="G27" s="199"/>
      <c r="H27" s="233"/>
      <c r="I27" s="233"/>
      <c r="J27" s="241"/>
      <c r="K27" s="228"/>
      <c r="L27" s="194"/>
      <c r="N27" s="242" t="s">
        <v>437</v>
      </c>
    </row>
    <row r="28">
      <c r="A28" s="233"/>
      <c r="B28" s="234"/>
      <c r="C28" s="235"/>
      <c r="D28" s="232"/>
      <c r="E28" s="232"/>
      <c r="F28" s="234"/>
      <c r="G28" s="235"/>
      <c r="H28" s="233"/>
      <c r="I28" s="233"/>
      <c r="J28" s="241"/>
      <c r="K28" s="228"/>
      <c r="L28" s="194"/>
      <c r="O28" s="197" t="s">
        <v>8</v>
      </c>
      <c r="P28" s="199"/>
      <c r="Q28" s="232"/>
      <c r="R28" s="232"/>
      <c r="S28" s="197" t="s">
        <v>9</v>
      </c>
      <c r="T28" s="199"/>
      <c r="U28" s="232"/>
      <c r="V28" s="233"/>
      <c r="W28" s="197" t="s">
        <v>10</v>
      </c>
      <c r="X28" s="199"/>
    </row>
    <row r="29">
      <c r="A29" s="233"/>
      <c r="B29" s="236" t="s">
        <v>428</v>
      </c>
      <c r="C29" s="205" t="b">
        <v>0</v>
      </c>
      <c r="D29" s="232"/>
      <c r="E29" s="232"/>
      <c r="F29" s="236" t="s">
        <v>428</v>
      </c>
      <c r="G29" s="205" t="b">
        <v>0</v>
      </c>
      <c r="H29" s="233"/>
      <c r="I29" s="233"/>
      <c r="J29" s="241"/>
      <c r="K29" s="228"/>
      <c r="L29" s="194"/>
      <c r="O29" s="234"/>
      <c r="P29" s="235"/>
      <c r="Q29" s="232"/>
      <c r="R29" s="232"/>
      <c r="S29" s="234"/>
      <c r="T29" s="235"/>
      <c r="U29" s="232"/>
      <c r="V29" s="233"/>
      <c r="W29" s="234"/>
      <c r="X29" s="235"/>
    </row>
    <row r="30">
      <c r="A30" s="233"/>
      <c r="B30" s="236" t="s">
        <v>430</v>
      </c>
      <c r="C30" s="205" t="b">
        <v>0</v>
      </c>
      <c r="D30" s="232"/>
      <c r="E30" s="232"/>
      <c r="F30" s="236" t="s">
        <v>430</v>
      </c>
      <c r="G30" s="205" t="b">
        <v>0</v>
      </c>
      <c r="H30" s="233"/>
      <c r="I30" s="232"/>
      <c r="J30" s="232"/>
      <c r="K30" s="232"/>
      <c r="O30" s="236"/>
      <c r="P30" s="205"/>
      <c r="Q30" s="232"/>
      <c r="R30" s="232"/>
      <c r="S30" s="236"/>
      <c r="T30" s="205"/>
      <c r="U30" s="232"/>
      <c r="V30" s="233"/>
      <c r="W30" s="236"/>
      <c r="X30" s="205"/>
    </row>
    <row r="31">
      <c r="A31" s="233"/>
      <c r="B31" s="236" t="s">
        <v>431</v>
      </c>
      <c r="C31" s="205" t="b">
        <v>0</v>
      </c>
      <c r="D31" s="232"/>
      <c r="E31" s="232"/>
      <c r="F31" s="236" t="s">
        <v>431</v>
      </c>
      <c r="G31" s="205" t="b">
        <v>0</v>
      </c>
      <c r="H31" s="233"/>
      <c r="I31" s="232"/>
      <c r="J31" s="232"/>
      <c r="K31" s="232"/>
      <c r="O31" s="236" t="s">
        <v>430</v>
      </c>
      <c r="P31" s="205" t="b">
        <v>0</v>
      </c>
      <c r="Q31" s="232"/>
      <c r="R31" s="232"/>
      <c r="S31" s="236" t="s">
        <v>430</v>
      </c>
      <c r="T31" s="205" t="b">
        <v>0</v>
      </c>
      <c r="U31" s="232"/>
      <c r="V31" s="233"/>
      <c r="W31" s="236" t="s">
        <v>430</v>
      </c>
      <c r="X31" s="205" t="b">
        <v>0</v>
      </c>
    </row>
    <row r="32">
      <c r="A32" s="233"/>
      <c r="B32" s="236" t="s">
        <v>432</v>
      </c>
      <c r="C32" s="205" t="b">
        <v>0</v>
      </c>
      <c r="D32" s="232"/>
      <c r="E32" s="232"/>
      <c r="F32" s="236" t="s">
        <v>432</v>
      </c>
      <c r="G32" s="205" t="b">
        <v>0</v>
      </c>
      <c r="H32" s="233"/>
      <c r="I32" s="232"/>
      <c r="J32" s="232"/>
      <c r="K32" s="232"/>
      <c r="O32" s="236" t="s">
        <v>431</v>
      </c>
      <c r="P32" s="205" t="b">
        <v>0</v>
      </c>
      <c r="Q32" s="232"/>
      <c r="R32" s="232"/>
      <c r="S32" s="236" t="s">
        <v>431</v>
      </c>
      <c r="T32" s="205" t="b">
        <v>0</v>
      </c>
      <c r="U32" s="232"/>
      <c r="V32" s="233"/>
      <c r="W32" s="236" t="s">
        <v>431</v>
      </c>
      <c r="X32" s="205" t="b">
        <v>0</v>
      </c>
    </row>
    <row r="33">
      <c r="A33" s="233"/>
      <c r="B33" s="236" t="s">
        <v>434</v>
      </c>
      <c r="C33" s="205" t="b">
        <v>0</v>
      </c>
      <c r="D33" s="232"/>
      <c r="E33" s="232"/>
      <c r="F33" s="236" t="s">
        <v>434</v>
      </c>
      <c r="G33" s="205" t="b">
        <v>0</v>
      </c>
      <c r="H33" s="233"/>
      <c r="I33" s="232"/>
      <c r="J33" s="232"/>
      <c r="K33" s="232"/>
      <c r="O33" s="236" t="s">
        <v>432</v>
      </c>
      <c r="P33" s="205" t="b">
        <v>0</v>
      </c>
      <c r="Q33" s="232"/>
      <c r="R33" s="232"/>
      <c r="S33" s="236" t="s">
        <v>432</v>
      </c>
      <c r="T33" s="205" t="b">
        <v>0</v>
      </c>
      <c r="U33" s="232"/>
      <c r="V33" s="233"/>
      <c r="W33" s="236" t="s">
        <v>432</v>
      </c>
      <c r="X33" s="205" t="b">
        <v>0</v>
      </c>
    </row>
    <row r="34">
      <c r="A34" s="232"/>
      <c r="B34" s="236" t="s">
        <v>435</v>
      </c>
      <c r="C34" s="205" t="b">
        <v>0</v>
      </c>
      <c r="D34" s="232"/>
      <c r="E34" s="232"/>
      <c r="F34" s="236" t="s">
        <v>435</v>
      </c>
      <c r="G34" s="205" t="b">
        <v>0</v>
      </c>
      <c r="H34" s="232"/>
      <c r="I34" s="232"/>
      <c r="J34" s="232"/>
      <c r="K34" s="232"/>
      <c r="O34" s="238"/>
      <c r="P34" s="204"/>
      <c r="Q34" s="232"/>
      <c r="R34" s="232"/>
      <c r="S34" s="238"/>
      <c r="T34" s="204"/>
      <c r="U34" s="232"/>
      <c r="V34" s="233"/>
      <c r="W34" s="238"/>
      <c r="X34" s="204"/>
    </row>
    <row r="35">
      <c r="O35" s="239"/>
      <c r="P35" s="211"/>
      <c r="Q35" s="232"/>
      <c r="R35" s="232"/>
      <c r="S35" s="239"/>
      <c r="T35" s="211"/>
      <c r="U35" s="232"/>
      <c r="V35" s="232"/>
      <c r="W35" s="239"/>
      <c r="X35" s="211"/>
    </row>
    <row r="36">
      <c r="O36" s="240"/>
      <c r="P36" s="229"/>
      <c r="Q36" s="233"/>
      <c r="R36" s="233"/>
      <c r="S36" s="240"/>
      <c r="T36" s="229"/>
      <c r="U36" s="233"/>
      <c r="V36" s="233"/>
      <c r="W36" s="241"/>
      <c r="X36" s="228"/>
    </row>
    <row r="37">
      <c r="O37" s="240"/>
      <c r="P37" s="229"/>
      <c r="Q37" s="233"/>
      <c r="R37" s="233"/>
      <c r="S37" s="240"/>
      <c r="T37" s="229"/>
      <c r="U37" s="233"/>
      <c r="V37" s="233"/>
      <c r="W37" s="241"/>
      <c r="X37" s="228"/>
    </row>
    <row r="38">
      <c r="O38" s="197" t="s">
        <v>11</v>
      </c>
      <c r="P38" s="199"/>
      <c r="Q38" s="232"/>
      <c r="R38" s="232"/>
      <c r="S38" s="197" t="s">
        <v>12</v>
      </c>
      <c r="T38" s="199"/>
      <c r="U38" s="233"/>
      <c r="V38" s="233"/>
      <c r="W38" s="241"/>
      <c r="X38" s="228"/>
    </row>
    <row r="39">
      <c r="O39" s="234"/>
      <c r="P39" s="235"/>
      <c r="Q39" s="232"/>
      <c r="R39" s="232"/>
      <c r="S39" s="234"/>
      <c r="T39" s="235"/>
      <c r="U39" s="233"/>
      <c r="V39" s="233"/>
      <c r="W39" s="241"/>
      <c r="X39" s="228"/>
    </row>
    <row r="40">
      <c r="O40" s="236"/>
      <c r="P40" s="205"/>
      <c r="Q40" s="232"/>
      <c r="R40" s="232"/>
      <c r="S40" s="236"/>
      <c r="T40" s="205"/>
      <c r="U40" s="233"/>
      <c r="V40" s="233"/>
      <c r="W40" s="241"/>
      <c r="X40" s="228"/>
    </row>
    <row r="41">
      <c r="O41" s="236" t="s">
        <v>430</v>
      </c>
      <c r="P41" s="205" t="b">
        <v>0</v>
      </c>
      <c r="Q41" s="232"/>
      <c r="R41" s="232"/>
      <c r="S41" s="236" t="s">
        <v>430</v>
      </c>
      <c r="T41" s="205" t="b">
        <v>0</v>
      </c>
      <c r="U41" s="233"/>
      <c r="V41" s="232"/>
      <c r="W41" s="232"/>
      <c r="X41" s="232"/>
    </row>
    <row r="42">
      <c r="O42" s="236" t="s">
        <v>431</v>
      </c>
      <c r="P42" s="205" t="b">
        <v>0</v>
      </c>
      <c r="Q42" s="232"/>
      <c r="R42" s="232"/>
      <c r="S42" s="236" t="s">
        <v>431</v>
      </c>
      <c r="T42" s="205" t="b">
        <v>0</v>
      </c>
      <c r="U42" s="233"/>
      <c r="V42" s="232"/>
      <c r="W42" s="232"/>
      <c r="X42" s="232"/>
    </row>
    <row r="43">
      <c r="O43" s="236" t="s">
        <v>432</v>
      </c>
      <c r="P43" s="205" t="b">
        <v>0</v>
      </c>
      <c r="Q43" s="232"/>
      <c r="R43" s="232"/>
      <c r="S43" s="236" t="s">
        <v>432</v>
      </c>
      <c r="T43" s="205" t="b">
        <v>0</v>
      </c>
      <c r="U43" s="233"/>
      <c r="V43" s="232"/>
      <c r="W43" s="232"/>
      <c r="X43" s="232"/>
    </row>
    <row r="44">
      <c r="O44" s="238"/>
      <c r="P44" s="204"/>
      <c r="Q44" s="232"/>
      <c r="R44" s="232"/>
      <c r="S44" s="238"/>
      <c r="T44" s="204"/>
      <c r="U44" s="233"/>
      <c r="V44" s="232"/>
      <c r="W44" s="232"/>
      <c r="X44" s="232"/>
    </row>
  </sheetData>
  <mergeCells count="25">
    <mergeCell ref="S5:T5"/>
    <mergeCell ref="W5:X5"/>
    <mergeCell ref="O25:Y25"/>
    <mergeCell ref="O28:P28"/>
    <mergeCell ref="S28:T28"/>
    <mergeCell ref="W28:X28"/>
    <mergeCell ref="O38:P38"/>
    <mergeCell ref="S38:T38"/>
    <mergeCell ref="A1:K1"/>
    <mergeCell ref="O2:Y2"/>
    <mergeCell ref="A3:K3"/>
    <mergeCell ref="B5:C5"/>
    <mergeCell ref="F5:G5"/>
    <mergeCell ref="J5:K5"/>
    <mergeCell ref="O5:P5"/>
    <mergeCell ref="B17:C17"/>
    <mergeCell ref="B27:C27"/>
    <mergeCell ref="F27:G27"/>
    <mergeCell ref="B10:C10"/>
    <mergeCell ref="F10:G10"/>
    <mergeCell ref="A15:K15"/>
    <mergeCell ref="O15:P15"/>
    <mergeCell ref="S15:T15"/>
    <mergeCell ref="F17:G17"/>
    <mergeCell ref="J17:K17"/>
  </mergeCells>
  <conditionalFormatting sqref="P3 T3 C4 G4 K4 C6:C8 G6:G8 K6:K8 P6:P14 T6:T14 X6:X12 C11:C14 G11:G14 K14 C16 G16 K16 P16:P24 T16:T24 C18:C26 G18:G26 K18:K24 X18:X24 P26 T26 C28:C34 G28:G34 P29:P37 T29:T37 X29:X35 P39:P44 T39:T44">
    <cfRule type="cellIs" dxfId="5" priority="1" operator="equal">
      <formula>"TRUE"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1.88"/>
    <col customWidth="1" min="3" max="3" width="16.5"/>
    <col customWidth="1" min="4" max="4" width="11.63"/>
    <col customWidth="1" min="5" max="5" width="22.13"/>
    <col customWidth="1" min="6" max="6" width="6.5"/>
    <col customWidth="1" min="7" max="7" width="16.5"/>
    <col customWidth="1" min="8" max="8" width="30.38"/>
    <col customWidth="1" min="9" max="9" width="19.5"/>
    <col customWidth="1" min="10" max="10" width="33.5"/>
    <col customWidth="1" min="11" max="11" width="21.88"/>
    <col customWidth="1" min="12" max="12" width="12.88"/>
    <col customWidth="1" min="13" max="13" width="24.25"/>
    <col customWidth="1" min="14" max="14" width="8.5"/>
    <col customWidth="1" min="15" max="15" width="22.38"/>
    <col customWidth="1" min="16" max="16" width="22.13"/>
    <col customWidth="1" min="18" max="18" width="18.0"/>
  </cols>
  <sheetData>
    <row r="1" ht="21.0" customHeight="1">
      <c r="A1" s="243" t="s">
        <v>438</v>
      </c>
    </row>
    <row r="2" ht="21.0" customHeight="1"/>
    <row r="3" ht="21.0" customHeight="1">
      <c r="A3" s="244" t="s">
        <v>439</v>
      </c>
      <c r="P3" s="245"/>
    </row>
    <row r="4" ht="30.0" customHeight="1">
      <c r="A4" s="244"/>
      <c r="P4" s="245"/>
    </row>
    <row r="5">
      <c r="A5" s="246" t="s">
        <v>440</v>
      </c>
      <c r="B5" s="247" t="s">
        <v>441</v>
      </c>
      <c r="C5" s="248" t="s">
        <v>442</v>
      </c>
      <c r="D5" s="248" t="s">
        <v>443</v>
      </c>
      <c r="E5" s="248" t="s">
        <v>444</v>
      </c>
      <c r="F5" s="248" t="s">
        <v>445</v>
      </c>
      <c r="G5" s="248" t="s">
        <v>446</v>
      </c>
      <c r="H5" s="248" t="s">
        <v>447</v>
      </c>
      <c r="I5" s="248" t="s">
        <v>448</v>
      </c>
      <c r="J5" s="248" t="s">
        <v>449</v>
      </c>
      <c r="K5" s="248" t="s">
        <v>450</v>
      </c>
      <c r="L5" s="248" t="s">
        <v>443</v>
      </c>
      <c r="M5" s="248" t="s">
        <v>444</v>
      </c>
      <c r="N5" s="248" t="s">
        <v>445</v>
      </c>
      <c r="O5" s="249" t="s">
        <v>451</v>
      </c>
      <c r="P5" s="250" t="s">
        <v>452</v>
      </c>
    </row>
    <row r="6">
      <c r="A6" s="251" t="s">
        <v>8</v>
      </c>
      <c r="B6" s="252" t="s">
        <v>453</v>
      </c>
      <c r="C6" s="252" t="s">
        <v>454</v>
      </c>
      <c r="D6" s="252"/>
      <c r="E6" s="253" t="s">
        <v>455</v>
      </c>
      <c r="F6" s="254">
        <v>1.0</v>
      </c>
      <c r="G6" s="252" t="s">
        <v>456</v>
      </c>
      <c r="H6" s="253" t="s">
        <v>457</v>
      </c>
      <c r="I6" s="252">
        <v>47.0</v>
      </c>
      <c r="J6" s="252" t="s">
        <v>458</v>
      </c>
      <c r="K6" s="252">
        <v>47.0</v>
      </c>
      <c r="L6" s="252" t="s">
        <v>456</v>
      </c>
      <c r="M6" s="253" t="s">
        <v>459</v>
      </c>
      <c r="N6" s="252">
        <v>1.0</v>
      </c>
      <c r="O6" s="252" t="s">
        <v>454</v>
      </c>
      <c r="P6" s="255" t="s">
        <v>460</v>
      </c>
    </row>
    <row r="7">
      <c r="A7" s="256"/>
      <c r="B7" s="257" t="s">
        <v>461</v>
      </c>
      <c r="C7" s="257"/>
      <c r="D7" s="257"/>
      <c r="E7" s="258"/>
      <c r="F7" s="258">
        <v>2.0</v>
      </c>
      <c r="G7" s="258"/>
      <c r="H7" s="257"/>
      <c r="I7" s="257">
        <v>48.0</v>
      </c>
      <c r="J7" s="257"/>
      <c r="K7" s="257">
        <v>48.0</v>
      </c>
      <c r="L7" s="258"/>
      <c r="M7" s="258"/>
      <c r="N7" s="257">
        <v>2.0</v>
      </c>
      <c r="O7" s="257"/>
      <c r="P7" s="259"/>
    </row>
    <row r="8">
      <c r="A8" s="251" t="s">
        <v>9</v>
      </c>
      <c r="B8" s="260" t="s">
        <v>453</v>
      </c>
      <c r="C8" s="260" t="s">
        <v>462</v>
      </c>
      <c r="D8" s="260"/>
      <c r="E8" s="260" t="s">
        <v>463</v>
      </c>
      <c r="F8" s="260">
        <v>1.0</v>
      </c>
      <c r="G8" s="260" t="s">
        <v>456</v>
      </c>
      <c r="H8" s="260" t="s">
        <v>464</v>
      </c>
      <c r="I8" s="260">
        <v>1.0</v>
      </c>
      <c r="J8" s="260" t="s">
        <v>465</v>
      </c>
      <c r="K8" s="260">
        <v>1.0</v>
      </c>
      <c r="L8" s="260" t="s">
        <v>456</v>
      </c>
      <c r="M8" s="260" t="s">
        <v>459</v>
      </c>
      <c r="N8" s="260">
        <v>5.0</v>
      </c>
      <c r="O8" s="260" t="s">
        <v>462</v>
      </c>
      <c r="P8" s="255" t="s">
        <v>466</v>
      </c>
    </row>
    <row r="9">
      <c r="A9" s="256"/>
      <c r="B9" s="261" t="s">
        <v>461</v>
      </c>
      <c r="C9" s="262"/>
      <c r="D9" s="261"/>
      <c r="E9" s="262"/>
      <c r="F9" s="261">
        <v>2.0</v>
      </c>
      <c r="G9" s="262"/>
      <c r="H9" s="261"/>
      <c r="I9" s="261">
        <v>2.0</v>
      </c>
      <c r="J9" s="261"/>
      <c r="K9" s="261">
        <v>2.0</v>
      </c>
      <c r="L9" s="262"/>
      <c r="M9" s="262"/>
      <c r="N9" s="261">
        <v>6.0</v>
      </c>
      <c r="O9" s="261"/>
      <c r="P9" s="259"/>
    </row>
    <row r="10">
      <c r="A10" s="251" t="s">
        <v>10</v>
      </c>
      <c r="B10" s="252" t="s">
        <v>453</v>
      </c>
      <c r="C10" s="252" t="s">
        <v>467</v>
      </c>
      <c r="D10" s="252"/>
      <c r="E10" s="253" t="s">
        <v>468</v>
      </c>
      <c r="F10" s="263">
        <v>1.0</v>
      </c>
      <c r="G10" s="252" t="s">
        <v>469</v>
      </c>
      <c r="H10" s="253" t="s">
        <v>470</v>
      </c>
      <c r="I10" s="252">
        <v>1.0</v>
      </c>
      <c r="J10" s="252" t="s">
        <v>471</v>
      </c>
      <c r="K10" s="252">
        <v>25.0</v>
      </c>
      <c r="L10" s="252" t="s">
        <v>456</v>
      </c>
      <c r="M10" s="253" t="s">
        <v>459</v>
      </c>
      <c r="N10" s="252">
        <v>7.0</v>
      </c>
      <c r="O10" s="252" t="s">
        <v>467</v>
      </c>
      <c r="P10" s="255" t="s">
        <v>472</v>
      </c>
    </row>
    <row r="11">
      <c r="A11" s="256"/>
      <c r="B11" s="257" t="s">
        <v>461</v>
      </c>
      <c r="C11" s="257"/>
      <c r="D11" s="257"/>
      <c r="E11" s="264"/>
      <c r="F11" s="265">
        <v>2.0</v>
      </c>
      <c r="G11" s="257"/>
      <c r="H11" s="257"/>
      <c r="I11" s="257">
        <v>2.0</v>
      </c>
      <c r="J11" s="257"/>
      <c r="K11" s="257">
        <v>26.0</v>
      </c>
      <c r="L11" s="257"/>
      <c r="M11" s="257"/>
      <c r="N11" s="257">
        <v>8.0</v>
      </c>
      <c r="O11" s="257"/>
      <c r="P11" s="259"/>
    </row>
    <row r="12">
      <c r="A12" s="251" t="s">
        <v>11</v>
      </c>
      <c r="B12" s="260" t="s">
        <v>453</v>
      </c>
      <c r="C12" s="260" t="s">
        <v>473</v>
      </c>
      <c r="D12" s="260"/>
      <c r="E12" s="260" t="s">
        <v>474</v>
      </c>
      <c r="F12" s="260">
        <v>1.0</v>
      </c>
      <c r="G12" s="260" t="s">
        <v>475</v>
      </c>
      <c r="H12" s="260" t="s">
        <v>476</v>
      </c>
      <c r="I12" s="260">
        <v>3.0</v>
      </c>
      <c r="J12" s="260" t="s">
        <v>471</v>
      </c>
      <c r="K12" s="260">
        <v>27.0</v>
      </c>
      <c r="L12" s="260" t="s">
        <v>456</v>
      </c>
      <c r="M12" s="260" t="s">
        <v>459</v>
      </c>
      <c r="N12" s="260">
        <v>9.0</v>
      </c>
      <c r="O12" s="260" t="s">
        <v>473</v>
      </c>
      <c r="P12" s="255" t="s">
        <v>477</v>
      </c>
    </row>
    <row r="13">
      <c r="A13" s="256"/>
      <c r="B13" s="261" t="s">
        <v>461</v>
      </c>
      <c r="C13" s="262"/>
      <c r="D13" s="261"/>
      <c r="E13" s="262"/>
      <c r="F13" s="261">
        <v>2.0</v>
      </c>
      <c r="G13" s="262"/>
      <c r="H13" s="261"/>
      <c r="I13" s="261">
        <v>4.0</v>
      </c>
      <c r="J13" s="261"/>
      <c r="K13" s="261">
        <v>28.0</v>
      </c>
      <c r="L13" s="262"/>
      <c r="M13" s="262"/>
      <c r="N13" s="261">
        <v>10.0</v>
      </c>
      <c r="O13" s="261"/>
      <c r="P13" s="259"/>
    </row>
    <row r="14">
      <c r="A14" s="251" t="s">
        <v>12</v>
      </c>
      <c r="B14" s="252" t="s">
        <v>453</v>
      </c>
      <c r="C14" s="252" t="s">
        <v>478</v>
      </c>
      <c r="D14" s="252"/>
      <c r="E14" s="253" t="s">
        <v>479</v>
      </c>
      <c r="F14" s="263">
        <v>1.0</v>
      </c>
      <c r="G14" s="252" t="s">
        <v>456</v>
      </c>
      <c r="H14" s="253" t="s">
        <v>464</v>
      </c>
      <c r="I14" s="252">
        <v>3.0</v>
      </c>
      <c r="J14" s="252" t="s">
        <v>465</v>
      </c>
      <c r="K14" s="252">
        <v>3.0</v>
      </c>
      <c r="L14" s="252" t="s">
        <v>456</v>
      </c>
      <c r="M14" s="253" t="s">
        <v>459</v>
      </c>
      <c r="N14" s="252">
        <v>11.0</v>
      </c>
      <c r="O14" s="252" t="s">
        <v>478</v>
      </c>
      <c r="P14" s="255" t="s">
        <v>480</v>
      </c>
    </row>
    <row r="15">
      <c r="A15" s="251"/>
      <c r="B15" s="252" t="s">
        <v>461</v>
      </c>
      <c r="C15" s="252"/>
      <c r="D15" s="252"/>
      <c r="E15" s="266"/>
      <c r="F15" s="263">
        <v>2.0</v>
      </c>
      <c r="G15" s="252"/>
      <c r="H15" s="252"/>
      <c r="I15" s="252">
        <v>4.0</v>
      </c>
      <c r="J15" s="252"/>
      <c r="K15" s="252">
        <v>4.0</v>
      </c>
      <c r="L15" s="252"/>
      <c r="M15" s="252"/>
      <c r="N15" s="252">
        <v>12.0</v>
      </c>
      <c r="O15" s="252"/>
      <c r="P15" s="267"/>
    </row>
    <row r="16">
      <c r="A16" s="244" t="s">
        <v>481</v>
      </c>
      <c r="P16" s="245"/>
    </row>
    <row r="17" ht="28.5" customHeight="1">
      <c r="A17" s="244"/>
      <c r="P17" s="245"/>
    </row>
    <row r="18">
      <c r="A18" s="268" t="s">
        <v>440</v>
      </c>
      <c r="B18" s="269" t="s">
        <v>441</v>
      </c>
      <c r="C18" s="270" t="s">
        <v>442</v>
      </c>
      <c r="D18" s="271" t="s">
        <v>443</v>
      </c>
      <c r="E18" s="248" t="s">
        <v>444</v>
      </c>
      <c r="F18" s="248" t="s">
        <v>445</v>
      </c>
      <c r="G18" s="248" t="s">
        <v>446</v>
      </c>
      <c r="H18" s="248" t="s">
        <v>447</v>
      </c>
      <c r="I18" s="248" t="s">
        <v>448</v>
      </c>
      <c r="J18" s="248" t="s">
        <v>449</v>
      </c>
      <c r="K18" s="248" t="s">
        <v>450</v>
      </c>
      <c r="L18" s="248" t="s">
        <v>443</v>
      </c>
      <c r="M18" s="248" t="s">
        <v>444</v>
      </c>
      <c r="N18" s="248" t="s">
        <v>445</v>
      </c>
      <c r="O18" s="272" t="s">
        <v>451</v>
      </c>
      <c r="P18" s="273" t="s">
        <v>452</v>
      </c>
    </row>
    <row r="19">
      <c r="A19" s="274" t="s">
        <v>4</v>
      </c>
      <c r="B19" s="252" t="s">
        <v>482</v>
      </c>
      <c r="C19" s="252" t="s">
        <v>483</v>
      </c>
      <c r="D19" s="252" t="s">
        <v>469</v>
      </c>
      <c r="E19" s="253" t="s">
        <v>484</v>
      </c>
      <c r="F19" s="254">
        <v>1.0</v>
      </c>
      <c r="G19" s="252" t="s">
        <v>469</v>
      </c>
      <c r="H19" s="253" t="s">
        <v>485</v>
      </c>
      <c r="I19" s="252">
        <v>11.0</v>
      </c>
      <c r="J19" s="252" t="s">
        <v>486</v>
      </c>
      <c r="K19" s="252">
        <v>11.0</v>
      </c>
      <c r="L19" s="252" t="s">
        <v>469</v>
      </c>
      <c r="M19" s="253" t="s">
        <v>487</v>
      </c>
      <c r="N19" s="252">
        <v>1.0</v>
      </c>
      <c r="O19" s="252" t="s">
        <v>488</v>
      </c>
      <c r="P19" s="275" t="s">
        <v>489</v>
      </c>
    </row>
    <row r="20">
      <c r="A20" s="276"/>
      <c r="B20" s="257" t="s">
        <v>490</v>
      </c>
      <c r="C20" s="257" t="s">
        <v>483</v>
      </c>
      <c r="D20" s="257"/>
      <c r="E20" s="258"/>
      <c r="F20" s="258">
        <v>2.0</v>
      </c>
      <c r="G20" s="258"/>
      <c r="H20" s="257"/>
      <c r="I20" s="257">
        <v>12.0</v>
      </c>
      <c r="J20" s="257"/>
      <c r="K20" s="257">
        <v>12.0</v>
      </c>
      <c r="L20" s="258"/>
      <c r="M20" s="258"/>
      <c r="N20" s="257">
        <v>2.0</v>
      </c>
      <c r="O20" s="257" t="s">
        <v>491</v>
      </c>
      <c r="P20" s="277"/>
    </row>
    <row r="21">
      <c r="A21" s="274" t="s">
        <v>5</v>
      </c>
      <c r="B21" s="260" t="s">
        <v>482</v>
      </c>
      <c r="C21" s="260" t="s">
        <v>483</v>
      </c>
      <c r="D21" s="260" t="s">
        <v>492</v>
      </c>
      <c r="E21" s="260" t="s">
        <v>493</v>
      </c>
      <c r="F21" s="260">
        <v>1.0</v>
      </c>
      <c r="G21" s="260" t="s">
        <v>492</v>
      </c>
      <c r="H21" s="260" t="s">
        <v>494</v>
      </c>
      <c r="I21" s="260">
        <v>23.0</v>
      </c>
      <c r="J21" s="260" t="s">
        <v>471</v>
      </c>
      <c r="K21" s="260">
        <v>31.0</v>
      </c>
      <c r="L21" s="260" t="s">
        <v>456</v>
      </c>
      <c r="M21" s="260" t="s">
        <v>487</v>
      </c>
      <c r="N21" s="260">
        <v>3.0</v>
      </c>
      <c r="O21" s="260" t="s">
        <v>495</v>
      </c>
      <c r="P21" s="275" t="s">
        <v>489</v>
      </c>
    </row>
    <row r="22">
      <c r="A22" s="276"/>
      <c r="B22" s="260" t="s">
        <v>490</v>
      </c>
      <c r="C22" s="260" t="s">
        <v>483</v>
      </c>
      <c r="D22" s="260"/>
      <c r="E22" s="278"/>
      <c r="F22" s="260">
        <v>2.0</v>
      </c>
      <c r="G22" s="278"/>
      <c r="H22" s="260"/>
      <c r="I22" s="260">
        <v>24.0</v>
      </c>
      <c r="J22" s="260"/>
      <c r="K22" s="260">
        <v>32.0</v>
      </c>
      <c r="L22" s="278"/>
      <c r="M22" s="278"/>
      <c r="N22" s="260">
        <v>4.0</v>
      </c>
      <c r="O22" s="260" t="s">
        <v>496</v>
      </c>
      <c r="P22" s="277"/>
    </row>
    <row r="23">
      <c r="A23" s="274" t="s">
        <v>411</v>
      </c>
      <c r="B23" s="279" t="s">
        <v>482</v>
      </c>
      <c r="C23" s="280" t="s">
        <v>483</v>
      </c>
      <c r="D23" s="280" t="s">
        <v>469</v>
      </c>
      <c r="E23" s="280" t="s">
        <v>497</v>
      </c>
      <c r="F23" s="280">
        <v>1.0</v>
      </c>
      <c r="G23" s="280" t="s">
        <v>469</v>
      </c>
      <c r="H23" s="280" t="s">
        <v>498</v>
      </c>
      <c r="I23" s="280">
        <v>23.0</v>
      </c>
      <c r="J23" s="280" t="s">
        <v>499</v>
      </c>
      <c r="K23" s="280">
        <v>23.0</v>
      </c>
      <c r="L23" s="280" t="s">
        <v>469</v>
      </c>
      <c r="M23" s="280" t="s">
        <v>487</v>
      </c>
      <c r="N23" s="280">
        <v>5.0</v>
      </c>
      <c r="O23" s="281" t="s">
        <v>500</v>
      </c>
      <c r="P23" s="275" t="s">
        <v>489</v>
      </c>
    </row>
    <row r="24">
      <c r="A24" s="274"/>
      <c r="B24" s="282" t="s">
        <v>490</v>
      </c>
      <c r="C24" s="283" t="s">
        <v>483</v>
      </c>
      <c r="D24" s="283"/>
      <c r="E24" s="284"/>
      <c r="F24" s="283">
        <v>2.0</v>
      </c>
      <c r="G24" s="284"/>
      <c r="H24" s="283"/>
      <c r="I24" s="283">
        <v>24.0</v>
      </c>
      <c r="J24" s="283"/>
      <c r="K24" s="283">
        <v>24.0</v>
      </c>
      <c r="L24" s="284"/>
      <c r="M24" s="284"/>
      <c r="N24" s="283">
        <v>6.0</v>
      </c>
      <c r="O24" s="285" t="s">
        <v>501</v>
      </c>
      <c r="P24" s="286"/>
    </row>
    <row r="25">
      <c r="A25" s="287" t="s">
        <v>7</v>
      </c>
      <c r="B25" s="288" t="s">
        <v>482</v>
      </c>
      <c r="C25" s="288" t="s">
        <v>483</v>
      </c>
      <c r="D25" s="288" t="s">
        <v>469</v>
      </c>
      <c r="E25" s="288" t="s">
        <v>502</v>
      </c>
      <c r="F25" s="288">
        <v>1.0</v>
      </c>
      <c r="G25" s="288" t="s">
        <v>456</v>
      </c>
      <c r="H25" s="288" t="s">
        <v>503</v>
      </c>
      <c r="I25" s="288">
        <v>23.0</v>
      </c>
      <c r="J25" s="288" t="s">
        <v>504</v>
      </c>
      <c r="K25" s="288">
        <v>23.0</v>
      </c>
      <c r="L25" s="288" t="s">
        <v>469</v>
      </c>
      <c r="M25" s="288" t="s">
        <v>487</v>
      </c>
      <c r="N25" s="288">
        <v>7.0</v>
      </c>
      <c r="O25" s="288" t="s">
        <v>505</v>
      </c>
      <c r="P25" s="289" t="s">
        <v>489</v>
      </c>
    </row>
    <row r="26">
      <c r="A26" s="276"/>
      <c r="B26" s="261" t="s">
        <v>490</v>
      </c>
      <c r="C26" s="261" t="s">
        <v>483</v>
      </c>
      <c r="D26" s="261"/>
      <c r="E26" s="262"/>
      <c r="F26" s="261">
        <v>2.0</v>
      </c>
      <c r="G26" s="262"/>
      <c r="H26" s="261"/>
      <c r="I26" s="261">
        <v>24.0</v>
      </c>
      <c r="J26" s="261"/>
      <c r="K26" s="261">
        <v>24.0</v>
      </c>
      <c r="L26" s="262"/>
      <c r="M26" s="262"/>
      <c r="N26" s="261">
        <v>8.0</v>
      </c>
      <c r="O26" s="261" t="s">
        <v>506</v>
      </c>
      <c r="P26" s="277"/>
    </row>
    <row r="27">
      <c r="A27" s="274" t="s">
        <v>13</v>
      </c>
      <c r="B27" s="290" t="s">
        <v>482</v>
      </c>
      <c r="C27" s="290" t="s">
        <v>483</v>
      </c>
      <c r="D27" s="290" t="s">
        <v>469</v>
      </c>
      <c r="E27" s="291" t="s">
        <v>507</v>
      </c>
      <c r="F27" s="292">
        <v>1.0</v>
      </c>
      <c r="G27" s="290" t="s">
        <v>475</v>
      </c>
      <c r="H27" s="291" t="s">
        <v>476</v>
      </c>
      <c r="I27" s="290">
        <v>5.0</v>
      </c>
      <c r="J27" s="290" t="s">
        <v>471</v>
      </c>
      <c r="K27" s="290">
        <v>29.0</v>
      </c>
      <c r="L27" s="290" t="s">
        <v>456</v>
      </c>
      <c r="M27" s="291" t="s">
        <v>487</v>
      </c>
      <c r="N27" s="290">
        <v>9.0</v>
      </c>
      <c r="O27" s="290" t="s">
        <v>508</v>
      </c>
      <c r="P27" s="275" t="s">
        <v>489</v>
      </c>
    </row>
    <row r="28">
      <c r="A28" s="276"/>
      <c r="B28" s="293" t="s">
        <v>490</v>
      </c>
      <c r="C28" s="293" t="s">
        <v>483</v>
      </c>
      <c r="D28" s="293"/>
      <c r="E28" s="294"/>
      <c r="F28" s="295">
        <v>2.0</v>
      </c>
      <c r="G28" s="293"/>
      <c r="H28" s="293"/>
      <c r="I28" s="293">
        <v>6.0</v>
      </c>
      <c r="J28" s="293"/>
      <c r="K28" s="293">
        <v>30.0</v>
      </c>
      <c r="L28" s="293"/>
      <c r="M28" s="293"/>
      <c r="N28" s="293">
        <v>10.0</v>
      </c>
      <c r="O28" s="293" t="s">
        <v>509</v>
      </c>
      <c r="P28" s="277"/>
    </row>
    <row r="45">
      <c r="B45" s="242" t="s">
        <v>510</v>
      </c>
    </row>
  </sheetData>
  <mergeCells count="5">
    <mergeCell ref="A1:P2"/>
    <mergeCell ref="A3:P3"/>
    <mergeCell ref="A4:P4"/>
    <mergeCell ref="A16:P16"/>
    <mergeCell ref="A17:P1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0.75"/>
    <col customWidth="1" min="3" max="3" width="18.88"/>
    <col customWidth="1" min="4" max="4" width="11.63"/>
    <col customWidth="1" min="5" max="5" width="23.38"/>
    <col customWidth="1" min="6" max="6" width="4.88"/>
    <col customWidth="1" min="7" max="7" width="16.5"/>
    <col customWidth="1" min="8" max="8" width="37.75"/>
    <col customWidth="1" min="9" max="9" width="12.13"/>
    <col customWidth="1" min="10" max="10" width="27.75"/>
    <col customWidth="1" min="11" max="11" width="11.5"/>
    <col customWidth="1" min="12" max="12" width="12.88"/>
    <col customWidth="1" min="13" max="13" width="24.13"/>
    <col customWidth="1" min="14" max="14" width="4.88"/>
    <col customWidth="1" min="15" max="15" width="20.38"/>
    <col customWidth="1" min="16" max="16" width="13.75"/>
    <col customWidth="1" min="18" max="18" width="18.0"/>
  </cols>
  <sheetData>
    <row r="1" ht="24.0" customHeight="1">
      <c r="A1" s="296" t="s">
        <v>511</v>
      </c>
    </row>
    <row r="2" ht="24.0" customHeight="1"/>
    <row r="3" ht="24.0" customHeight="1">
      <c r="A3" s="297" t="s">
        <v>243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9"/>
    </row>
    <row r="4" ht="15.0" customHeight="1">
      <c r="A4" s="244"/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300"/>
    </row>
    <row r="5">
      <c r="A5" s="246" t="s">
        <v>440</v>
      </c>
      <c r="B5" s="247" t="s">
        <v>441</v>
      </c>
      <c r="C5" s="247" t="s">
        <v>512</v>
      </c>
      <c r="D5" s="248" t="s">
        <v>443</v>
      </c>
      <c r="E5" s="248" t="s">
        <v>444</v>
      </c>
      <c r="F5" s="301" t="s">
        <v>445</v>
      </c>
      <c r="G5" s="248" t="s">
        <v>446</v>
      </c>
      <c r="H5" s="248" t="s">
        <v>513</v>
      </c>
      <c r="I5" s="302" t="s">
        <v>514</v>
      </c>
      <c r="J5" s="248" t="s">
        <v>513</v>
      </c>
      <c r="K5" s="301" t="s">
        <v>515</v>
      </c>
      <c r="L5" s="248" t="s">
        <v>443</v>
      </c>
      <c r="M5" s="248" t="s">
        <v>444</v>
      </c>
      <c r="N5" s="301" t="s">
        <v>445</v>
      </c>
      <c r="O5" s="303" t="s">
        <v>516</v>
      </c>
      <c r="P5" s="250" t="s">
        <v>452</v>
      </c>
    </row>
    <row r="6">
      <c r="A6" s="304" t="s">
        <v>517</v>
      </c>
      <c r="B6" s="260" t="s">
        <v>518</v>
      </c>
      <c r="C6" s="305" t="s">
        <v>519</v>
      </c>
      <c r="D6" s="305" t="s">
        <v>520</v>
      </c>
      <c r="E6" s="306" t="s">
        <v>487</v>
      </c>
      <c r="F6" s="307">
        <v>12.0</v>
      </c>
      <c r="G6" s="305" t="s">
        <v>456</v>
      </c>
      <c r="H6" s="306" t="s">
        <v>521</v>
      </c>
      <c r="I6" s="307" t="s">
        <v>522</v>
      </c>
      <c r="J6" s="305" t="s">
        <v>523</v>
      </c>
      <c r="K6" s="307" t="s">
        <v>524</v>
      </c>
      <c r="L6" s="305" t="s">
        <v>456</v>
      </c>
      <c r="M6" s="306"/>
      <c r="N6" s="307">
        <v>1.0</v>
      </c>
      <c r="O6" s="305" t="s">
        <v>525</v>
      </c>
      <c r="P6" s="308" t="s">
        <v>526</v>
      </c>
    </row>
    <row r="7">
      <c r="A7" s="304" t="s">
        <v>526</v>
      </c>
      <c r="B7" s="260" t="s">
        <v>527</v>
      </c>
      <c r="C7" s="305" t="s">
        <v>519</v>
      </c>
      <c r="D7" s="305"/>
      <c r="E7" s="305"/>
      <c r="F7" s="307">
        <v>13.0</v>
      </c>
      <c r="G7" s="305" t="s">
        <v>456</v>
      </c>
      <c r="H7" s="305" t="s">
        <v>523</v>
      </c>
      <c r="I7" s="307" t="s">
        <v>528</v>
      </c>
      <c r="J7" s="305" t="s">
        <v>521</v>
      </c>
      <c r="K7" s="307" t="s">
        <v>529</v>
      </c>
      <c r="L7" s="305" t="s">
        <v>456</v>
      </c>
      <c r="M7" s="306" t="s">
        <v>487</v>
      </c>
      <c r="N7" s="307">
        <v>13.0</v>
      </c>
      <c r="O7" s="305" t="s">
        <v>525</v>
      </c>
      <c r="P7" s="308" t="s">
        <v>517</v>
      </c>
    </row>
    <row r="8">
      <c r="A8" s="304" t="s">
        <v>517</v>
      </c>
      <c r="B8" s="260" t="s">
        <v>530</v>
      </c>
      <c r="C8" s="305"/>
      <c r="D8" s="305"/>
      <c r="E8" s="305"/>
      <c r="F8" s="307"/>
      <c r="G8" s="305"/>
      <c r="H8" s="305"/>
      <c r="I8" s="307"/>
      <c r="J8" s="305"/>
      <c r="K8" s="307"/>
      <c r="L8" s="305"/>
      <c r="M8" s="305"/>
      <c r="N8" s="307">
        <v>3.0</v>
      </c>
      <c r="O8" s="305"/>
      <c r="P8" s="309"/>
    </row>
    <row r="9">
      <c r="A9" s="310" t="s">
        <v>531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2"/>
    </row>
    <row r="10" ht="11.25" customHeight="1">
      <c r="A10" s="244"/>
      <c r="B10" s="244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300"/>
    </row>
    <row r="11">
      <c r="A11" s="246" t="s">
        <v>440</v>
      </c>
      <c r="B11" s="313" t="s">
        <v>441</v>
      </c>
      <c r="C11" s="314"/>
      <c r="D11" s="315"/>
      <c r="E11" s="316" t="s">
        <v>444</v>
      </c>
      <c r="F11" s="317" t="s">
        <v>445</v>
      </c>
      <c r="G11" s="248"/>
      <c r="H11" s="248"/>
      <c r="I11" s="301"/>
      <c r="J11" s="248"/>
      <c r="K11" s="301"/>
      <c r="L11" s="248"/>
      <c r="M11" s="248"/>
      <c r="N11" s="301"/>
      <c r="O11" s="318"/>
      <c r="P11" s="250" t="s">
        <v>452</v>
      </c>
    </row>
    <row r="12">
      <c r="A12" s="304" t="s">
        <v>531</v>
      </c>
      <c r="B12" s="319" t="s">
        <v>532</v>
      </c>
      <c r="E12" s="253" t="s">
        <v>533</v>
      </c>
      <c r="F12" s="320">
        <v>1.0</v>
      </c>
      <c r="G12" s="321"/>
      <c r="H12" s="322"/>
      <c r="I12" s="323"/>
      <c r="J12" s="321"/>
      <c r="K12" s="323"/>
      <c r="L12" s="321"/>
      <c r="M12" s="322"/>
      <c r="N12" s="323"/>
      <c r="O12" s="321"/>
      <c r="P12" s="308" t="s">
        <v>517</v>
      </c>
    </row>
    <row r="13">
      <c r="A13" s="304"/>
      <c r="B13" s="319" t="s">
        <v>534</v>
      </c>
      <c r="E13" s="324"/>
      <c r="F13" s="325">
        <v>2.0</v>
      </c>
      <c r="G13" s="321"/>
      <c r="H13" s="321"/>
      <c r="I13" s="323"/>
      <c r="J13" s="321"/>
      <c r="K13" s="323"/>
      <c r="L13" s="321"/>
      <c r="M13" s="321"/>
      <c r="N13" s="323"/>
      <c r="O13" s="321"/>
      <c r="P13" s="309"/>
    </row>
    <row r="14">
      <c r="A14" s="304"/>
      <c r="B14" s="324" t="s">
        <v>535</v>
      </c>
      <c r="E14" s="324"/>
      <c r="F14" s="326">
        <v>3.0</v>
      </c>
      <c r="G14" s="321"/>
      <c r="H14" s="321"/>
      <c r="I14" s="323"/>
      <c r="J14" s="321"/>
      <c r="K14" s="323"/>
      <c r="L14" s="321"/>
      <c r="M14" s="321"/>
      <c r="N14" s="323"/>
      <c r="O14" s="321"/>
      <c r="P14" s="309"/>
    </row>
    <row r="15">
      <c r="A15" s="304"/>
      <c r="B15" s="324" t="s">
        <v>536</v>
      </c>
      <c r="E15" s="324"/>
      <c r="F15" s="327">
        <v>4.0</v>
      </c>
      <c r="G15" s="328"/>
      <c r="H15" s="321"/>
      <c r="I15" s="323"/>
      <c r="J15" s="321"/>
      <c r="K15" s="323"/>
      <c r="L15" s="328"/>
      <c r="M15" s="328"/>
      <c r="N15" s="323"/>
      <c r="O15" s="321"/>
      <c r="P15" s="309"/>
    </row>
    <row r="16">
      <c r="A16" s="304"/>
      <c r="B16" s="324" t="s">
        <v>461</v>
      </c>
      <c r="E16" s="324"/>
      <c r="F16" s="329">
        <v>5.0</v>
      </c>
      <c r="G16" s="328"/>
      <c r="H16" s="321"/>
      <c r="I16" s="323"/>
      <c r="J16" s="321"/>
      <c r="K16" s="323"/>
      <c r="L16" s="328"/>
      <c r="M16" s="328"/>
      <c r="N16" s="323"/>
      <c r="O16" s="321"/>
      <c r="P16" s="309"/>
    </row>
    <row r="17">
      <c r="A17" s="304"/>
      <c r="B17" s="324" t="s">
        <v>461</v>
      </c>
      <c r="E17" s="324"/>
      <c r="F17" s="330">
        <v>6.0</v>
      </c>
      <c r="G17" s="328"/>
      <c r="H17" s="321"/>
      <c r="I17" s="323"/>
      <c r="J17" s="321"/>
      <c r="K17" s="323"/>
      <c r="L17" s="328"/>
      <c r="M17" s="328"/>
      <c r="N17" s="323"/>
      <c r="O17" s="321"/>
      <c r="P17" s="309"/>
    </row>
    <row r="18">
      <c r="A18" s="331" t="s">
        <v>517</v>
      </c>
      <c r="B18" s="332" t="s">
        <v>537</v>
      </c>
      <c r="C18" s="332"/>
      <c r="D18" s="332"/>
      <c r="E18" s="333" t="s">
        <v>533</v>
      </c>
      <c r="F18" s="334">
        <v>1.0</v>
      </c>
      <c r="G18" s="328"/>
      <c r="H18" s="321"/>
      <c r="I18" s="323"/>
      <c r="J18" s="321"/>
      <c r="K18" s="323"/>
      <c r="L18" s="328"/>
      <c r="M18" s="328"/>
      <c r="N18" s="323"/>
      <c r="O18" s="321"/>
      <c r="P18" s="308" t="s">
        <v>531</v>
      </c>
    </row>
    <row r="19">
      <c r="A19" s="304"/>
      <c r="B19" s="324" t="s">
        <v>538</v>
      </c>
      <c r="C19" s="324"/>
      <c r="D19" s="324"/>
      <c r="E19" s="324"/>
      <c r="F19" s="325">
        <v>2.0</v>
      </c>
      <c r="G19" s="328"/>
      <c r="H19" s="321"/>
      <c r="I19" s="323"/>
      <c r="J19" s="321"/>
      <c r="K19" s="323"/>
      <c r="L19" s="328"/>
      <c r="M19" s="328"/>
      <c r="N19" s="323"/>
      <c r="O19" s="321"/>
      <c r="P19" s="309"/>
    </row>
    <row r="20">
      <c r="A20" s="304"/>
      <c r="B20" s="324" t="s">
        <v>539</v>
      </c>
      <c r="C20" s="324"/>
      <c r="D20" s="324"/>
      <c r="E20" s="324"/>
      <c r="F20" s="326">
        <v>3.0</v>
      </c>
      <c r="G20" s="328"/>
      <c r="H20" s="321"/>
      <c r="I20" s="323"/>
      <c r="J20" s="321"/>
      <c r="K20" s="323"/>
      <c r="L20" s="328"/>
      <c r="M20" s="328"/>
      <c r="N20" s="323"/>
      <c r="O20" s="321"/>
      <c r="P20" s="309"/>
    </row>
    <row r="21">
      <c r="A21" s="304"/>
      <c r="B21" s="324" t="s">
        <v>540</v>
      </c>
      <c r="C21" s="324"/>
      <c r="D21" s="324"/>
      <c r="E21" s="324"/>
      <c r="F21" s="327">
        <v>4.0</v>
      </c>
      <c r="G21" s="328"/>
      <c r="H21" s="321"/>
      <c r="I21" s="323"/>
      <c r="J21" s="321"/>
      <c r="K21" s="323"/>
      <c r="L21" s="328"/>
      <c r="M21" s="328"/>
      <c r="N21" s="323"/>
      <c r="O21" s="321"/>
      <c r="P21" s="309"/>
    </row>
    <row r="22">
      <c r="A22" s="304"/>
      <c r="B22" s="324" t="s">
        <v>541</v>
      </c>
      <c r="C22" s="324"/>
      <c r="D22" s="324"/>
      <c r="E22" s="324"/>
      <c r="F22" s="329">
        <v>5.0</v>
      </c>
      <c r="G22" s="328"/>
      <c r="H22" s="321"/>
      <c r="I22" s="323"/>
      <c r="J22" s="321"/>
      <c r="K22" s="323"/>
      <c r="L22" s="328"/>
      <c r="M22" s="328"/>
      <c r="N22" s="323"/>
      <c r="O22" s="321"/>
      <c r="P22" s="309"/>
    </row>
    <row r="23">
      <c r="A23" s="304"/>
      <c r="B23" s="324" t="s">
        <v>461</v>
      </c>
      <c r="C23" s="324"/>
      <c r="D23" s="324"/>
      <c r="E23" s="324"/>
      <c r="F23" s="330">
        <v>6.0</v>
      </c>
      <c r="G23" s="328"/>
      <c r="H23" s="321"/>
      <c r="I23" s="323"/>
      <c r="J23" s="321"/>
      <c r="K23" s="323"/>
      <c r="L23" s="328"/>
      <c r="M23" s="328"/>
      <c r="N23" s="323"/>
      <c r="O23" s="321"/>
      <c r="P23" s="309"/>
    </row>
    <row r="24">
      <c r="A24" s="310" t="s">
        <v>542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/>
    </row>
    <row r="25" ht="12.0" customHeight="1">
      <c r="A25" s="244"/>
      <c r="B25" s="244"/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300"/>
    </row>
    <row r="26">
      <c r="A26" s="246" t="s">
        <v>440</v>
      </c>
      <c r="B26" s="313" t="s">
        <v>441</v>
      </c>
      <c r="C26" s="314"/>
      <c r="D26" s="315"/>
      <c r="E26" s="316" t="s">
        <v>444</v>
      </c>
      <c r="F26" s="317" t="s">
        <v>445</v>
      </c>
      <c r="G26" s="248"/>
      <c r="H26" s="248"/>
      <c r="I26" s="301"/>
      <c r="J26" s="248"/>
      <c r="K26" s="301"/>
      <c r="L26" s="248"/>
      <c r="M26" s="248"/>
      <c r="N26" s="301"/>
      <c r="O26" s="318"/>
      <c r="P26" s="250" t="s">
        <v>452</v>
      </c>
    </row>
    <row r="27">
      <c r="A27" s="335" t="s">
        <v>543</v>
      </c>
      <c r="B27" s="336" t="s">
        <v>544</v>
      </c>
      <c r="E27" s="306" t="s">
        <v>545</v>
      </c>
      <c r="F27" s="307" t="s">
        <v>546</v>
      </c>
      <c r="G27" s="321"/>
      <c r="H27" s="322"/>
      <c r="I27" s="323"/>
      <c r="J27" s="321"/>
      <c r="K27" s="323"/>
      <c r="L27" s="321"/>
      <c r="M27" s="322"/>
      <c r="N27" s="323"/>
      <c r="O27" s="321"/>
      <c r="P27" s="308" t="s">
        <v>517</v>
      </c>
    </row>
    <row r="28">
      <c r="B28" s="337"/>
      <c r="E28" s="306"/>
      <c r="F28" s="338"/>
      <c r="G28" s="321"/>
      <c r="H28" s="322"/>
      <c r="I28" s="323"/>
      <c r="J28" s="321"/>
      <c r="K28" s="323"/>
      <c r="L28" s="321"/>
      <c r="M28" s="322"/>
      <c r="N28" s="323"/>
      <c r="O28" s="321"/>
      <c r="P28" s="308"/>
    </row>
    <row r="29">
      <c r="A29" s="310" t="s">
        <v>547</v>
      </c>
      <c r="B29" s="311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2"/>
    </row>
    <row r="30" ht="12.75" customHeight="1">
      <c r="A30" s="244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300"/>
    </row>
    <row r="31">
      <c r="A31" s="339" t="s">
        <v>440</v>
      </c>
      <c r="B31" s="247" t="s">
        <v>441</v>
      </c>
      <c r="C31" s="247" t="s">
        <v>512</v>
      </c>
      <c r="D31" s="248" t="s">
        <v>443</v>
      </c>
      <c r="E31" s="248" t="s">
        <v>444</v>
      </c>
      <c r="F31" s="301" t="s">
        <v>445</v>
      </c>
      <c r="G31" s="248" t="s">
        <v>446</v>
      </c>
      <c r="H31" s="248" t="s">
        <v>548</v>
      </c>
      <c r="I31" s="302" t="s">
        <v>514</v>
      </c>
      <c r="J31" s="248" t="s">
        <v>449</v>
      </c>
      <c r="K31" s="301" t="s">
        <v>514</v>
      </c>
      <c r="L31" s="248" t="s">
        <v>443</v>
      </c>
      <c r="M31" s="248" t="s">
        <v>444</v>
      </c>
      <c r="N31" s="301" t="s">
        <v>445</v>
      </c>
      <c r="O31" s="303" t="s">
        <v>549</v>
      </c>
      <c r="P31" s="250" t="s">
        <v>452</v>
      </c>
    </row>
    <row r="32">
      <c r="A32" s="304" t="s">
        <v>517</v>
      </c>
      <c r="B32" s="252" t="s">
        <v>550</v>
      </c>
      <c r="C32" s="252" t="s">
        <v>551</v>
      </c>
      <c r="D32" s="324" t="s">
        <v>552</v>
      </c>
      <c r="E32" s="253" t="s">
        <v>553</v>
      </c>
      <c r="F32" s="340">
        <v>1.0</v>
      </c>
      <c r="G32" s="324" t="s">
        <v>552</v>
      </c>
      <c r="H32" s="253" t="s">
        <v>554</v>
      </c>
      <c r="I32" s="341">
        <v>1.0</v>
      </c>
      <c r="J32" s="324" t="s">
        <v>555</v>
      </c>
      <c r="K32" s="341">
        <v>1.0</v>
      </c>
      <c r="L32" s="324" t="s">
        <v>552</v>
      </c>
      <c r="M32" s="253" t="s">
        <v>556</v>
      </c>
      <c r="N32" s="340">
        <v>1.0</v>
      </c>
      <c r="O32" s="252" t="s">
        <v>557</v>
      </c>
      <c r="P32" s="308" t="s">
        <v>547</v>
      </c>
    </row>
    <row r="33">
      <c r="A33" s="304"/>
      <c r="B33" s="252" t="s">
        <v>558</v>
      </c>
      <c r="C33" s="324"/>
      <c r="D33" s="324"/>
      <c r="E33" s="324"/>
      <c r="F33" s="340"/>
      <c r="G33" s="324"/>
      <c r="H33" s="324"/>
      <c r="I33" s="341"/>
      <c r="J33" s="324"/>
      <c r="K33" s="341"/>
      <c r="L33" s="324"/>
      <c r="M33" s="324"/>
      <c r="N33" s="340"/>
      <c r="O33" s="252"/>
      <c r="P33" s="309"/>
    </row>
    <row r="34">
      <c r="A34" s="304"/>
      <c r="B34" s="252" t="s">
        <v>559</v>
      </c>
      <c r="C34" s="324"/>
      <c r="D34" s="324"/>
      <c r="E34" s="324"/>
      <c r="F34" s="340"/>
      <c r="G34" s="324"/>
      <c r="H34" s="324"/>
      <c r="I34" s="341"/>
      <c r="J34" s="324"/>
      <c r="K34" s="341"/>
      <c r="L34" s="324"/>
      <c r="M34" s="324"/>
      <c r="N34" s="340"/>
      <c r="O34" s="252"/>
      <c r="P34" s="309"/>
    </row>
    <row r="35">
      <c r="A35" s="304"/>
      <c r="B35" s="252" t="s">
        <v>560</v>
      </c>
      <c r="C35" s="324"/>
      <c r="D35" s="324"/>
      <c r="E35" s="324"/>
      <c r="F35" s="340"/>
      <c r="G35" s="324"/>
      <c r="H35" s="324"/>
      <c r="I35" s="341"/>
      <c r="J35" s="324"/>
      <c r="K35" s="341"/>
      <c r="L35" s="324"/>
      <c r="M35" s="324"/>
      <c r="N35" s="340"/>
      <c r="O35" s="252"/>
      <c r="P35" s="309"/>
    </row>
    <row r="36">
      <c r="A36" s="304"/>
      <c r="B36" s="252" t="s">
        <v>561</v>
      </c>
      <c r="C36" s="324"/>
      <c r="D36" s="324"/>
      <c r="E36" s="324"/>
      <c r="F36" s="340"/>
      <c r="G36" s="324"/>
      <c r="H36" s="324"/>
      <c r="I36" s="341"/>
      <c r="J36" s="324"/>
      <c r="K36" s="341"/>
      <c r="L36" s="324"/>
      <c r="M36" s="324"/>
      <c r="N36" s="340"/>
      <c r="O36" s="252"/>
      <c r="P36" s="309"/>
    </row>
    <row r="37">
      <c r="A37" s="304"/>
      <c r="B37" s="252" t="s">
        <v>562</v>
      </c>
      <c r="C37" s="324"/>
      <c r="D37" s="324"/>
      <c r="E37" s="324"/>
      <c r="F37" s="340"/>
      <c r="G37" s="324"/>
      <c r="H37" s="324"/>
      <c r="I37" s="341"/>
      <c r="J37" s="324"/>
      <c r="K37" s="341"/>
      <c r="L37" s="324"/>
      <c r="M37" s="324"/>
      <c r="N37" s="340"/>
      <c r="O37" s="252"/>
      <c r="P37" s="309"/>
    </row>
    <row r="38">
      <c r="A38" s="304"/>
      <c r="B38" s="252" t="s">
        <v>563</v>
      </c>
      <c r="C38" s="324"/>
      <c r="D38" s="324"/>
      <c r="E38" s="324"/>
      <c r="F38" s="340"/>
      <c r="G38" s="324"/>
      <c r="H38" s="324"/>
      <c r="I38" s="341"/>
      <c r="J38" s="324"/>
      <c r="K38" s="341"/>
      <c r="L38" s="324"/>
      <c r="M38" s="324"/>
      <c r="N38" s="340"/>
      <c r="O38" s="252"/>
      <c r="P38" s="309"/>
    </row>
    <row r="39">
      <c r="A39" s="304"/>
      <c r="B39" s="252" t="s">
        <v>564</v>
      </c>
      <c r="C39" s="324"/>
      <c r="D39" s="324"/>
      <c r="E39" s="324"/>
      <c r="F39" s="340"/>
      <c r="G39" s="324"/>
      <c r="H39" s="324"/>
      <c r="I39" s="341"/>
      <c r="J39" s="324"/>
      <c r="K39" s="341"/>
      <c r="L39" s="324"/>
      <c r="M39" s="324"/>
      <c r="N39" s="340"/>
      <c r="O39" s="252"/>
      <c r="P39" s="309"/>
    </row>
    <row r="40">
      <c r="A40" s="304"/>
      <c r="B40" s="252" t="s">
        <v>565</v>
      </c>
      <c r="C40" s="324"/>
      <c r="D40" s="324"/>
      <c r="E40" s="324"/>
      <c r="F40" s="340"/>
      <c r="G40" s="324"/>
      <c r="H40" s="324"/>
      <c r="I40" s="341"/>
      <c r="J40" s="324"/>
      <c r="K40" s="341"/>
      <c r="L40" s="324"/>
      <c r="M40" s="324"/>
      <c r="N40" s="340"/>
      <c r="O40" s="252"/>
      <c r="P40" s="309"/>
    </row>
    <row r="41">
      <c r="A41" s="310" t="s">
        <v>566</v>
      </c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2"/>
    </row>
    <row r="42" ht="12.75" customHeight="1">
      <c r="A42" s="244"/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300"/>
    </row>
    <row r="43">
      <c r="A43" s="246" t="s">
        <v>440</v>
      </c>
      <c r="B43" s="247" t="s">
        <v>441</v>
      </c>
      <c r="C43" s="247" t="s">
        <v>512</v>
      </c>
      <c r="D43" s="248" t="s">
        <v>443</v>
      </c>
      <c r="E43" s="248" t="s">
        <v>444</v>
      </c>
      <c r="F43" s="301" t="s">
        <v>445</v>
      </c>
      <c r="G43" s="248" t="s">
        <v>446</v>
      </c>
      <c r="H43" s="248" t="s">
        <v>548</v>
      </c>
      <c r="I43" s="302" t="s">
        <v>514</v>
      </c>
      <c r="J43" s="248" t="s">
        <v>449</v>
      </c>
      <c r="K43" s="301" t="s">
        <v>514</v>
      </c>
      <c r="L43" s="248" t="s">
        <v>443</v>
      </c>
      <c r="M43" s="248" t="s">
        <v>444</v>
      </c>
      <c r="N43" s="301" t="s">
        <v>445</v>
      </c>
      <c r="O43" s="303" t="s">
        <v>567</v>
      </c>
      <c r="P43" s="250" t="s">
        <v>452</v>
      </c>
    </row>
    <row r="44">
      <c r="A44" s="304" t="s">
        <v>510</v>
      </c>
      <c r="B44" s="260" t="s">
        <v>568</v>
      </c>
      <c r="C44" s="305" t="s">
        <v>569</v>
      </c>
      <c r="D44" s="305" t="s">
        <v>570</v>
      </c>
      <c r="E44" s="342" t="s">
        <v>553</v>
      </c>
      <c r="F44" s="343">
        <v>3.0</v>
      </c>
      <c r="G44" s="305"/>
      <c r="H44" s="305"/>
      <c r="I44" s="307"/>
      <c r="J44" s="305"/>
      <c r="K44" s="307"/>
      <c r="L44" s="305"/>
      <c r="M44" s="342"/>
      <c r="N44" s="344">
        <v>3.0</v>
      </c>
      <c r="O44" s="260" t="s">
        <v>571</v>
      </c>
      <c r="P44" s="345" t="s">
        <v>517</v>
      </c>
    </row>
    <row r="45">
      <c r="A45" s="304"/>
      <c r="B45" s="260" t="s">
        <v>572</v>
      </c>
      <c r="C45" s="305"/>
      <c r="D45" s="305"/>
      <c r="E45" s="342"/>
      <c r="F45" s="343"/>
      <c r="G45" s="305"/>
      <c r="H45" s="305"/>
      <c r="I45" s="307"/>
      <c r="J45" s="305"/>
      <c r="K45" s="307"/>
      <c r="L45" s="305"/>
      <c r="M45" s="342"/>
      <c r="N45" s="344"/>
      <c r="O45" s="260"/>
      <c r="P45" s="345"/>
    </row>
    <row r="46">
      <c r="A46" s="304"/>
      <c r="B46" s="260" t="s">
        <v>573</v>
      </c>
      <c r="C46" s="305"/>
      <c r="D46" s="305"/>
      <c r="E46" s="342"/>
      <c r="F46" s="343"/>
      <c r="G46" s="305"/>
      <c r="H46" s="305"/>
      <c r="I46" s="307"/>
      <c r="J46" s="305"/>
      <c r="K46" s="307"/>
      <c r="L46" s="305"/>
      <c r="M46" s="342"/>
      <c r="N46" s="344"/>
      <c r="O46" s="260"/>
      <c r="P46" s="345"/>
    </row>
    <row r="47">
      <c r="A47" s="304"/>
      <c r="B47" s="260" t="s">
        <v>574</v>
      </c>
      <c r="C47" s="305"/>
      <c r="D47" s="305"/>
      <c r="E47" s="342"/>
      <c r="F47" s="343"/>
      <c r="G47" s="305"/>
      <c r="H47" s="305"/>
      <c r="I47" s="307"/>
      <c r="J47" s="305"/>
      <c r="K47" s="307"/>
      <c r="L47" s="305"/>
      <c r="M47" s="342"/>
      <c r="N47" s="344"/>
      <c r="O47" s="260"/>
      <c r="P47" s="345"/>
    </row>
    <row r="48">
      <c r="A48" s="304"/>
      <c r="B48" s="260" t="s">
        <v>575</v>
      </c>
      <c r="C48" s="305"/>
      <c r="D48" s="305"/>
      <c r="E48" s="342"/>
      <c r="F48" s="343"/>
      <c r="G48" s="305"/>
      <c r="H48" s="305"/>
      <c r="I48" s="307"/>
      <c r="J48" s="305"/>
      <c r="K48" s="307"/>
      <c r="L48" s="305"/>
      <c r="M48" s="342"/>
      <c r="N48" s="344"/>
      <c r="O48" s="260"/>
      <c r="P48" s="345"/>
    </row>
    <row r="49">
      <c r="A49" s="304"/>
      <c r="B49" s="260" t="s">
        <v>576</v>
      </c>
      <c r="C49" s="305"/>
      <c r="D49" s="305"/>
      <c r="E49" s="342"/>
      <c r="F49" s="343"/>
      <c r="G49" s="305"/>
      <c r="H49" s="305"/>
      <c r="I49" s="307"/>
      <c r="J49" s="305"/>
      <c r="K49" s="307"/>
      <c r="L49" s="305"/>
      <c r="M49" s="342"/>
      <c r="N49" s="344"/>
      <c r="O49" s="260"/>
      <c r="P49" s="345"/>
    </row>
    <row r="50">
      <c r="A50" s="304"/>
      <c r="B50" s="260" t="s">
        <v>577</v>
      </c>
      <c r="C50" s="305"/>
      <c r="D50" s="305"/>
      <c r="E50" s="342"/>
      <c r="F50" s="343"/>
      <c r="G50" s="305"/>
      <c r="H50" s="305"/>
      <c r="I50" s="307"/>
      <c r="J50" s="305"/>
      <c r="K50" s="307"/>
      <c r="L50" s="305"/>
      <c r="M50" s="342"/>
      <c r="N50" s="344"/>
      <c r="O50" s="260"/>
      <c r="P50" s="345"/>
    </row>
    <row r="51">
      <c r="A51" s="304"/>
      <c r="B51" s="260" t="s">
        <v>578</v>
      </c>
      <c r="C51" s="305"/>
      <c r="D51" s="305"/>
      <c r="E51" s="342"/>
      <c r="F51" s="343"/>
      <c r="G51" s="305"/>
      <c r="H51" s="305"/>
      <c r="I51" s="307"/>
      <c r="J51" s="305"/>
      <c r="K51" s="307"/>
      <c r="L51" s="305"/>
      <c r="M51" s="342"/>
      <c r="N51" s="344"/>
      <c r="O51" s="260"/>
      <c r="P51" s="345"/>
    </row>
    <row r="52">
      <c r="A52" s="304"/>
      <c r="B52" s="260" t="s">
        <v>579</v>
      </c>
      <c r="C52" s="305"/>
      <c r="D52" s="305"/>
      <c r="E52" s="342"/>
      <c r="F52" s="343"/>
      <c r="G52" s="305"/>
      <c r="H52" s="305"/>
      <c r="I52" s="307"/>
      <c r="J52" s="305"/>
      <c r="K52" s="307"/>
      <c r="L52" s="305"/>
      <c r="M52" s="342"/>
      <c r="N52" s="344"/>
      <c r="O52" s="260"/>
      <c r="P52" s="345"/>
    </row>
    <row r="53">
      <c r="A53" s="346"/>
      <c r="B53" s="347" t="s">
        <v>580</v>
      </c>
      <c r="C53" s="348"/>
      <c r="D53" s="348"/>
      <c r="E53" s="349"/>
      <c r="F53" s="350"/>
      <c r="G53" s="348"/>
      <c r="H53" s="348"/>
      <c r="I53" s="351"/>
      <c r="J53" s="348"/>
      <c r="K53" s="351"/>
      <c r="L53" s="348"/>
      <c r="M53" s="348"/>
      <c r="N53" s="352"/>
      <c r="O53" s="347"/>
      <c r="P53" s="353"/>
    </row>
    <row r="54">
      <c r="F54" s="232"/>
      <c r="I54" s="232"/>
      <c r="K54" s="232"/>
      <c r="N54" s="232"/>
    </row>
    <row r="55">
      <c r="F55" s="232"/>
      <c r="I55" s="232"/>
      <c r="K55" s="232"/>
      <c r="N55" s="232"/>
    </row>
    <row r="56">
      <c r="F56" s="232"/>
      <c r="I56" s="232"/>
      <c r="K56" s="232"/>
      <c r="N56" s="232"/>
    </row>
    <row r="57">
      <c r="F57" s="232"/>
      <c r="I57" s="232"/>
      <c r="K57" s="232"/>
      <c r="N57" s="232"/>
    </row>
    <row r="58">
      <c r="F58" s="232"/>
      <c r="I58" s="232"/>
      <c r="K58" s="232"/>
      <c r="N58" s="232"/>
    </row>
    <row r="59">
      <c r="F59" s="232"/>
      <c r="I59" s="232"/>
      <c r="K59" s="232"/>
      <c r="N59" s="232"/>
    </row>
    <row r="60">
      <c r="F60" s="232"/>
      <c r="I60" s="232"/>
      <c r="K60" s="232"/>
      <c r="N60" s="232"/>
    </row>
    <row r="61">
      <c r="F61" s="232"/>
      <c r="I61" s="232"/>
      <c r="K61" s="232"/>
      <c r="N61" s="232"/>
    </row>
    <row r="62">
      <c r="F62" s="232"/>
      <c r="I62" s="232"/>
      <c r="K62" s="232"/>
      <c r="N62" s="232"/>
    </row>
    <row r="63">
      <c r="F63" s="232"/>
      <c r="I63" s="232"/>
      <c r="K63" s="232"/>
      <c r="N63" s="232"/>
    </row>
    <row r="64">
      <c r="F64" s="232"/>
      <c r="I64" s="232"/>
      <c r="K64" s="232"/>
      <c r="N64" s="232"/>
    </row>
    <row r="65">
      <c r="F65" s="232"/>
      <c r="I65" s="232"/>
      <c r="K65" s="232"/>
      <c r="N65" s="232"/>
    </row>
    <row r="66">
      <c r="F66" s="232"/>
      <c r="I66" s="232"/>
      <c r="K66" s="232"/>
      <c r="N66" s="232"/>
    </row>
    <row r="67">
      <c r="F67" s="232"/>
      <c r="I67" s="232"/>
      <c r="K67" s="232"/>
      <c r="N67" s="232"/>
    </row>
    <row r="68">
      <c r="F68" s="232"/>
      <c r="I68" s="232"/>
      <c r="K68" s="232"/>
      <c r="N68" s="232"/>
    </row>
    <row r="69">
      <c r="F69" s="232"/>
      <c r="I69" s="232"/>
      <c r="K69" s="232"/>
      <c r="N69" s="232"/>
    </row>
    <row r="70">
      <c r="F70" s="232"/>
      <c r="I70" s="232"/>
      <c r="K70" s="232"/>
      <c r="N70" s="232"/>
    </row>
    <row r="71">
      <c r="F71" s="232"/>
      <c r="I71" s="232"/>
      <c r="K71" s="232"/>
      <c r="N71" s="232"/>
    </row>
    <row r="72">
      <c r="F72" s="232"/>
      <c r="I72" s="232"/>
      <c r="K72" s="232"/>
      <c r="N72" s="232"/>
    </row>
    <row r="73">
      <c r="F73" s="232"/>
      <c r="I73" s="232"/>
      <c r="K73" s="232"/>
      <c r="N73" s="232"/>
    </row>
    <row r="74">
      <c r="F74" s="232"/>
      <c r="I74" s="232"/>
      <c r="K74" s="232"/>
      <c r="N74" s="232"/>
    </row>
    <row r="75">
      <c r="F75" s="232"/>
      <c r="I75" s="232"/>
      <c r="K75" s="232"/>
      <c r="N75" s="232"/>
    </row>
    <row r="76">
      <c r="F76" s="232"/>
      <c r="I76" s="232"/>
      <c r="K76" s="232"/>
      <c r="N76" s="232"/>
    </row>
    <row r="77">
      <c r="F77" s="232"/>
      <c r="I77" s="232"/>
      <c r="K77" s="232"/>
      <c r="N77" s="232"/>
    </row>
    <row r="78">
      <c r="F78" s="232"/>
      <c r="I78" s="232"/>
      <c r="K78" s="232"/>
      <c r="N78" s="232"/>
    </row>
    <row r="79">
      <c r="F79" s="232"/>
      <c r="I79" s="232"/>
      <c r="K79" s="232"/>
      <c r="N79" s="232"/>
    </row>
    <row r="80">
      <c r="F80" s="232"/>
      <c r="I80" s="232"/>
      <c r="K80" s="232"/>
      <c r="N80" s="232"/>
    </row>
    <row r="81">
      <c r="F81" s="232"/>
      <c r="I81" s="232"/>
      <c r="K81" s="232"/>
      <c r="N81" s="232"/>
    </row>
    <row r="82">
      <c r="F82" s="232"/>
      <c r="I82" s="232"/>
      <c r="K82" s="232"/>
      <c r="N82" s="232"/>
    </row>
    <row r="83">
      <c r="F83" s="232"/>
      <c r="I83" s="232"/>
      <c r="K83" s="232"/>
      <c r="N83" s="232"/>
    </row>
    <row r="84">
      <c r="F84" s="232"/>
      <c r="I84" s="232"/>
      <c r="K84" s="232"/>
      <c r="N84" s="232"/>
    </row>
    <row r="85">
      <c r="F85" s="232"/>
      <c r="I85" s="232"/>
      <c r="K85" s="232"/>
      <c r="N85" s="232"/>
    </row>
    <row r="86">
      <c r="F86" s="232"/>
      <c r="I86" s="232"/>
      <c r="K86" s="232"/>
      <c r="N86" s="232"/>
    </row>
    <row r="87">
      <c r="F87" s="232"/>
      <c r="I87" s="232"/>
      <c r="K87" s="232"/>
      <c r="N87" s="232"/>
    </row>
    <row r="88">
      <c r="F88" s="232"/>
      <c r="I88" s="232"/>
      <c r="K88" s="232"/>
      <c r="N88" s="232"/>
    </row>
    <row r="89">
      <c r="F89" s="232"/>
      <c r="I89" s="232"/>
      <c r="K89" s="232"/>
      <c r="N89" s="232"/>
    </row>
    <row r="90">
      <c r="F90" s="232"/>
      <c r="I90" s="232"/>
      <c r="K90" s="232"/>
      <c r="N90" s="232"/>
    </row>
    <row r="91">
      <c r="F91" s="232"/>
      <c r="I91" s="232"/>
      <c r="K91" s="232"/>
      <c r="N91" s="232"/>
    </row>
    <row r="92">
      <c r="F92" s="232"/>
      <c r="I92" s="232"/>
      <c r="K92" s="232"/>
      <c r="N92" s="232"/>
    </row>
    <row r="93">
      <c r="F93" s="232"/>
      <c r="I93" s="232"/>
      <c r="K93" s="232"/>
      <c r="N93" s="232"/>
    </row>
    <row r="94">
      <c r="F94" s="232"/>
      <c r="I94" s="232"/>
      <c r="K94" s="232"/>
      <c r="N94" s="232"/>
    </row>
    <row r="95">
      <c r="F95" s="232"/>
      <c r="I95" s="232"/>
      <c r="K95" s="232"/>
      <c r="N95" s="232"/>
    </row>
    <row r="96">
      <c r="F96" s="232"/>
      <c r="I96" s="232"/>
      <c r="K96" s="232"/>
      <c r="N96" s="232"/>
    </row>
    <row r="97">
      <c r="F97" s="232"/>
      <c r="I97" s="232"/>
      <c r="K97" s="232"/>
      <c r="N97" s="232"/>
    </row>
    <row r="98">
      <c r="F98" s="232"/>
      <c r="I98" s="232"/>
      <c r="K98" s="232"/>
      <c r="N98" s="232"/>
    </row>
    <row r="99">
      <c r="F99" s="232"/>
      <c r="I99" s="232"/>
      <c r="K99" s="232"/>
      <c r="N99" s="232"/>
    </row>
    <row r="100">
      <c r="F100" s="232"/>
      <c r="I100" s="232"/>
      <c r="K100" s="232"/>
      <c r="N100" s="232"/>
    </row>
    <row r="101">
      <c r="F101" s="232"/>
      <c r="I101" s="232"/>
      <c r="K101" s="232"/>
      <c r="N101" s="232"/>
    </row>
    <row r="102">
      <c r="F102" s="232"/>
      <c r="I102" s="232"/>
      <c r="K102" s="232"/>
      <c r="N102" s="232"/>
    </row>
    <row r="103">
      <c r="F103" s="232"/>
      <c r="I103" s="232"/>
      <c r="K103" s="232"/>
      <c r="N103" s="232"/>
    </row>
    <row r="104">
      <c r="F104" s="232"/>
      <c r="I104" s="232"/>
      <c r="K104" s="232"/>
      <c r="N104" s="232"/>
    </row>
    <row r="105">
      <c r="F105" s="232"/>
      <c r="I105" s="232"/>
      <c r="K105" s="232"/>
      <c r="N105" s="232"/>
    </row>
    <row r="106">
      <c r="F106" s="232"/>
      <c r="I106" s="232"/>
      <c r="K106" s="232"/>
      <c r="N106" s="232"/>
    </row>
    <row r="107">
      <c r="F107" s="232"/>
      <c r="I107" s="232"/>
      <c r="K107" s="232"/>
      <c r="N107" s="232"/>
    </row>
    <row r="108">
      <c r="F108" s="232"/>
      <c r="I108" s="232"/>
      <c r="K108" s="232"/>
      <c r="N108" s="232"/>
    </row>
    <row r="109">
      <c r="F109" s="232"/>
      <c r="I109" s="232"/>
      <c r="K109" s="232"/>
      <c r="N109" s="232"/>
    </row>
    <row r="110">
      <c r="F110" s="232"/>
      <c r="I110" s="232"/>
      <c r="K110" s="232"/>
      <c r="N110" s="232"/>
    </row>
    <row r="111">
      <c r="F111" s="232"/>
      <c r="I111" s="232"/>
      <c r="K111" s="232"/>
      <c r="N111" s="232"/>
    </row>
    <row r="112">
      <c r="F112" s="232"/>
      <c r="I112" s="232"/>
      <c r="K112" s="232"/>
      <c r="N112" s="232"/>
    </row>
    <row r="113">
      <c r="F113" s="232"/>
      <c r="I113" s="232"/>
      <c r="K113" s="232"/>
      <c r="N113" s="232"/>
    </row>
    <row r="114">
      <c r="F114" s="232"/>
      <c r="I114" s="232"/>
      <c r="K114" s="232"/>
      <c r="N114" s="232"/>
    </row>
    <row r="115">
      <c r="F115" s="232"/>
      <c r="I115" s="232"/>
      <c r="K115" s="232"/>
      <c r="N115" s="232"/>
    </row>
    <row r="116">
      <c r="F116" s="232"/>
      <c r="I116" s="232"/>
      <c r="K116" s="232"/>
      <c r="N116" s="232"/>
    </row>
    <row r="117">
      <c r="F117" s="232"/>
      <c r="I117" s="232"/>
      <c r="K117" s="232"/>
      <c r="N117" s="232"/>
    </row>
    <row r="118">
      <c r="F118" s="232"/>
      <c r="I118" s="232"/>
      <c r="K118" s="232"/>
      <c r="N118" s="232"/>
    </row>
    <row r="119">
      <c r="F119" s="232"/>
      <c r="I119" s="232"/>
      <c r="K119" s="232"/>
      <c r="N119" s="232"/>
    </row>
    <row r="120">
      <c r="F120" s="232"/>
      <c r="I120" s="232"/>
      <c r="K120" s="232"/>
      <c r="N120" s="232"/>
    </row>
    <row r="121">
      <c r="F121" s="232"/>
      <c r="I121" s="232"/>
      <c r="K121" s="232"/>
      <c r="N121" s="232"/>
    </row>
    <row r="122">
      <c r="F122" s="232"/>
      <c r="I122" s="232"/>
      <c r="K122" s="232"/>
      <c r="N122" s="232"/>
    </row>
    <row r="123">
      <c r="F123" s="232"/>
      <c r="I123" s="232"/>
      <c r="K123" s="232"/>
      <c r="N123" s="232"/>
    </row>
    <row r="124">
      <c r="F124" s="232"/>
      <c r="I124" s="232"/>
      <c r="K124" s="232"/>
      <c r="N124" s="232"/>
    </row>
    <row r="125">
      <c r="F125" s="232"/>
      <c r="I125" s="232"/>
      <c r="K125" s="232"/>
      <c r="N125" s="232"/>
    </row>
    <row r="126">
      <c r="F126" s="232"/>
      <c r="I126" s="232"/>
      <c r="K126" s="232"/>
      <c r="N126" s="232"/>
    </row>
    <row r="127">
      <c r="F127" s="232"/>
      <c r="I127" s="232"/>
      <c r="K127" s="232"/>
      <c r="N127" s="232"/>
    </row>
    <row r="128">
      <c r="F128" s="232"/>
      <c r="I128" s="232"/>
      <c r="K128" s="232"/>
      <c r="N128" s="232"/>
    </row>
    <row r="129">
      <c r="F129" s="232"/>
      <c r="I129" s="232"/>
      <c r="K129" s="232"/>
      <c r="N129" s="232"/>
    </row>
    <row r="130">
      <c r="F130" s="232"/>
      <c r="I130" s="232"/>
      <c r="K130" s="232"/>
      <c r="N130" s="232"/>
    </row>
    <row r="131">
      <c r="F131" s="232"/>
      <c r="I131" s="232"/>
      <c r="K131" s="232"/>
      <c r="N131" s="232"/>
    </row>
    <row r="132">
      <c r="F132" s="232"/>
      <c r="I132" s="232"/>
      <c r="K132" s="232"/>
      <c r="N132" s="232"/>
    </row>
    <row r="133">
      <c r="F133" s="232"/>
      <c r="I133" s="232"/>
      <c r="K133" s="232"/>
      <c r="N133" s="232"/>
    </row>
    <row r="134">
      <c r="F134" s="232"/>
      <c r="I134" s="232"/>
      <c r="K134" s="232"/>
      <c r="N134" s="232"/>
    </row>
    <row r="135">
      <c r="F135" s="232"/>
      <c r="I135" s="232"/>
      <c r="K135" s="232"/>
      <c r="N135" s="232"/>
    </row>
    <row r="136">
      <c r="F136" s="232"/>
      <c r="I136" s="232"/>
      <c r="K136" s="232"/>
      <c r="N136" s="232"/>
    </row>
    <row r="137">
      <c r="F137" s="232"/>
      <c r="I137" s="232"/>
      <c r="K137" s="232"/>
      <c r="N137" s="232"/>
    </row>
    <row r="138">
      <c r="F138" s="232"/>
      <c r="I138" s="232"/>
      <c r="K138" s="232"/>
      <c r="N138" s="232"/>
    </row>
    <row r="139">
      <c r="F139" s="232"/>
      <c r="I139" s="232"/>
      <c r="K139" s="232"/>
      <c r="N139" s="232"/>
    </row>
    <row r="140">
      <c r="F140" s="232"/>
      <c r="I140" s="232"/>
      <c r="K140" s="232"/>
      <c r="N140" s="232"/>
    </row>
    <row r="141">
      <c r="F141" s="232"/>
      <c r="I141" s="232"/>
      <c r="K141" s="232"/>
      <c r="N141" s="232"/>
    </row>
    <row r="142">
      <c r="F142" s="232"/>
      <c r="I142" s="232"/>
      <c r="K142" s="232"/>
      <c r="N142" s="232"/>
    </row>
    <row r="143">
      <c r="F143" s="232"/>
      <c r="I143" s="232"/>
      <c r="K143" s="232"/>
      <c r="N143" s="232"/>
    </row>
    <row r="144">
      <c r="F144" s="232"/>
      <c r="I144" s="232"/>
      <c r="K144" s="232"/>
      <c r="N144" s="232"/>
    </row>
    <row r="145">
      <c r="F145" s="232"/>
      <c r="I145" s="232"/>
      <c r="K145" s="232"/>
      <c r="N145" s="232"/>
    </row>
    <row r="146">
      <c r="F146" s="232"/>
      <c r="I146" s="232"/>
      <c r="K146" s="232"/>
      <c r="N146" s="232"/>
    </row>
    <row r="147">
      <c r="F147" s="232"/>
      <c r="I147" s="232"/>
      <c r="K147" s="232"/>
      <c r="N147" s="232"/>
    </row>
    <row r="148">
      <c r="F148" s="232"/>
      <c r="I148" s="232"/>
      <c r="K148" s="232"/>
      <c r="N148" s="232"/>
    </row>
    <row r="149">
      <c r="F149" s="232"/>
      <c r="I149" s="232"/>
      <c r="K149" s="232"/>
      <c r="N149" s="232"/>
    </row>
    <row r="150">
      <c r="F150" s="232"/>
      <c r="I150" s="232"/>
      <c r="K150" s="232"/>
      <c r="N150" s="232"/>
    </row>
    <row r="151">
      <c r="F151" s="232"/>
      <c r="I151" s="232"/>
      <c r="K151" s="232"/>
      <c r="N151" s="232"/>
    </row>
    <row r="152">
      <c r="F152" s="232"/>
      <c r="I152" s="232"/>
      <c r="K152" s="232"/>
      <c r="N152" s="232"/>
    </row>
    <row r="153">
      <c r="F153" s="232"/>
      <c r="I153" s="232"/>
      <c r="K153" s="232"/>
      <c r="N153" s="232"/>
    </row>
    <row r="154">
      <c r="F154" s="232"/>
      <c r="I154" s="232"/>
      <c r="K154" s="232"/>
      <c r="N154" s="232"/>
    </row>
    <row r="155">
      <c r="F155" s="232"/>
      <c r="I155" s="232"/>
      <c r="K155" s="232"/>
      <c r="N155" s="232"/>
    </row>
    <row r="156">
      <c r="F156" s="232"/>
      <c r="I156" s="232"/>
      <c r="K156" s="232"/>
      <c r="N156" s="232"/>
    </row>
    <row r="157">
      <c r="F157" s="232"/>
      <c r="I157" s="232"/>
      <c r="K157" s="232"/>
      <c r="N157" s="232"/>
    </row>
    <row r="158">
      <c r="F158" s="232"/>
      <c r="I158" s="232"/>
      <c r="K158" s="232"/>
      <c r="N158" s="232"/>
    </row>
    <row r="159">
      <c r="F159" s="232"/>
      <c r="I159" s="232"/>
      <c r="K159" s="232"/>
      <c r="N159" s="232"/>
    </row>
    <row r="160">
      <c r="F160" s="232"/>
      <c r="I160" s="232"/>
      <c r="K160" s="232"/>
      <c r="N160" s="232"/>
    </row>
    <row r="161">
      <c r="F161" s="232"/>
      <c r="I161" s="232"/>
      <c r="K161" s="232"/>
      <c r="N161" s="232"/>
    </row>
    <row r="162">
      <c r="F162" s="232"/>
      <c r="I162" s="232"/>
      <c r="K162" s="232"/>
      <c r="N162" s="232"/>
    </row>
    <row r="163">
      <c r="F163" s="232"/>
      <c r="I163" s="232"/>
      <c r="K163" s="232"/>
      <c r="N163" s="232"/>
    </row>
    <row r="164">
      <c r="F164" s="232"/>
      <c r="I164" s="232"/>
      <c r="K164" s="232"/>
      <c r="N164" s="232"/>
    </row>
    <row r="165">
      <c r="F165" s="232"/>
      <c r="I165" s="232"/>
      <c r="K165" s="232"/>
      <c r="N165" s="232"/>
    </row>
    <row r="166">
      <c r="F166" s="232"/>
      <c r="I166" s="232"/>
      <c r="K166" s="232"/>
      <c r="N166" s="232"/>
    </row>
    <row r="167">
      <c r="F167" s="232"/>
      <c r="I167" s="232"/>
      <c r="K167" s="232"/>
      <c r="N167" s="232"/>
    </row>
    <row r="168">
      <c r="F168" s="232"/>
      <c r="I168" s="232"/>
      <c r="K168" s="232"/>
      <c r="N168" s="232"/>
    </row>
    <row r="169">
      <c r="F169" s="232"/>
      <c r="I169" s="232"/>
      <c r="K169" s="232"/>
      <c r="N169" s="232"/>
    </row>
    <row r="170">
      <c r="F170" s="232"/>
      <c r="I170" s="232"/>
      <c r="K170" s="232"/>
      <c r="N170" s="232"/>
    </row>
    <row r="171">
      <c r="F171" s="232"/>
      <c r="I171" s="232"/>
      <c r="K171" s="232"/>
      <c r="N171" s="232"/>
    </row>
    <row r="172">
      <c r="F172" s="232"/>
      <c r="I172" s="232"/>
      <c r="K172" s="232"/>
      <c r="N172" s="232"/>
    </row>
    <row r="173">
      <c r="F173" s="232"/>
      <c r="I173" s="232"/>
      <c r="K173" s="232"/>
      <c r="N173" s="232"/>
    </row>
    <row r="174">
      <c r="F174" s="232"/>
      <c r="I174" s="232"/>
      <c r="K174" s="232"/>
      <c r="N174" s="232"/>
    </row>
    <row r="175">
      <c r="F175" s="232"/>
      <c r="I175" s="232"/>
      <c r="K175" s="232"/>
      <c r="N175" s="232"/>
    </row>
    <row r="176">
      <c r="F176" s="232"/>
      <c r="I176" s="232"/>
      <c r="K176" s="232"/>
      <c r="N176" s="232"/>
    </row>
    <row r="177">
      <c r="F177" s="232"/>
      <c r="I177" s="232"/>
      <c r="K177" s="232"/>
      <c r="N177" s="232"/>
    </row>
    <row r="178">
      <c r="F178" s="232"/>
      <c r="I178" s="232"/>
      <c r="K178" s="232"/>
      <c r="N178" s="232"/>
    </row>
    <row r="179">
      <c r="F179" s="232"/>
      <c r="I179" s="232"/>
      <c r="K179" s="232"/>
      <c r="N179" s="232"/>
    </row>
    <row r="180">
      <c r="F180" s="232"/>
      <c r="I180" s="232"/>
      <c r="K180" s="232"/>
      <c r="N180" s="232"/>
    </row>
    <row r="181">
      <c r="F181" s="232"/>
      <c r="I181" s="232"/>
      <c r="K181" s="232"/>
      <c r="N181" s="232"/>
    </row>
    <row r="182">
      <c r="F182" s="232"/>
      <c r="I182" s="232"/>
      <c r="K182" s="232"/>
      <c r="N182" s="232"/>
    </row>
    <row r="183">
      <c r="F183" s="232"/>
      <c r="I183" s="232"/>
      <c r="K183" s="232"/>
      <c r="N183" s="232"/>
    </row>
    <row r="184">
      <c r="F184" s="232"/>
      <c r="I184" s="232"/>
      <c r="K184" s="232"/>
      <c r="N184" s="232"/>
    </row>
    <row r="185">
      <c r="F185" s="232"/>
      <c r="I185" s="232"/>
      <c r="K185" s="232"/>
      <c r="N185" s="232"/>
    </row>
    <row r="186">
      <c r="F186" s="232"/>
      <c r="I186" s="232"/>
      <c r="K186" s="232"/>
      <c r="N186" s="232"/>
    </row>
    <row r="187">
      <c r="F187" s="232"/>
      <c r="I187" s="232"/>
      <c r="K187" s="232"/>
      <c r="N187" s="232"/>
    </row>
    <row r="188">
      <c r="F188" s="232"/>
      <c r="I188" s="232"/>
      <c r="K188" s="232"/>
      <c r="N188" s="232"/>
    </row>
    <row r="189">
      <c r="F189" s="232"/>
      <c r="I189" s="232"/>
      <c r="K189" s="232"/>
      <c r="N189" s="232"/>
    </row>
    <row r="190">
      <c r="F190" s="232"/>
      <c r="I190" s="232"/>
      <c r="K190" s="232"/>
      <c r="N190" s="232"/>
    </row>
    <row r="191">
      <c r="F191" s="232"/>
      <c r="I191" s="232"/>
      <c r="K191" s="232"/>
      <c r="N191" s="232"/>
    </row>
    <row r="192">
      <c r="F192" s="232"/>
      <c r="I192" s="232"/>
      <c r="K192" s="232"/>
      <c r="N192" s="232"/>
    </row>
    <row r="193">
      <c r="F193" s="232"/>
      <c r="I193" s="232"/>
      <c r="K193" s="232"/>
      <c r="N193" s="232"/>
    </row>
    <row r="194">
      <c r="F194" s="232"/>
      <c r="I194" s="232"/>
      <c r="K194" s="232"/>
      <c r="N194" s="232"/>
    </row>
    <row r="195">
      <c r="F195" s="232"/>
      <c r="I195" s="232"/>
      <c r="K195" s="232"/>
      <c r="N195" s="232"/>
    </row>
    <row r="196">
      <c r="F196" s="232"/>
      <c r="I196" s="232"/>
      <c r="K196" s="232"/>
      <c r="N196" s="232"/>
    </row>
    <row r="197">
      <c r="F197" s="232"/>
      <c r="I197" s="232"/>
      <c r="K197" s="232"/>
      <c r="N197" s="232"/>
    </row>
    <row r="198">
      <c r="F198" s="232"/>
      <c r="I198" s="232"/>
      <c r="K198" s="232"/>
      <c r="N198" s="232"/>
    </row>
    <row r="199">
      <c r="F199" s="232"/>
      <c r="I199" s="232"/>
      <c r="K199" s="232"/>
      <c r="N199" s="232"/>
    </row>
    <row r="200">
      <c r="F200" s="232"/>
      <c r="I200" s="232"/>
      <c r="K200" s="232"/>
      <c r="N200" s="232"/>
    </row>
    <row r="201">
      <c r="F201" s="232"/>
      <c r="I201" s="232"/>
      <c r="K201" s="232"/>
      <c r="N201" s="232"/>
    </row>
    <row r="202">
      <c r="F202" s="232"/>
      <c r="I202" s="232"/>
      <c r="K202" s="232"/>
      <c r="N202" s="232"/>
    </row>
    <row r="203">
      <c r="F203" s="232"/>
      <c r="I203" s="232"/>
      <c r="K203" s="232"/>
      <c r="N203" s="232"/>
    </row>
    <row r="204">
      <c r="F204" s="232"/>
      <c r="I204" s="232"/>
      <c r="K204" s="232"/>
      <c r="N204" s="232"/>
    </row>
    <row r="205">
      <c r="F205" s="232"/>
      <c r="I205" s="232"/>
      <c r="K205" s="232"/>
      <c r="N205" s="232"/>
    </row>
    <row r="206">
      <c r="F206" s="232"/>
      <c r="I206" s="232"/>
      <c r="K206" s="232"/>
      <c r="N206" s="232"/>
    </row>
    <row r="207">
      <c r="F207" s="232"/>
      <c r="I207" s="232"/>
      <c r="K207" s="232"/>
      <c r="N207" s="232"/>
    </row>
    <row r="208">
      <c r="F208" s="232"/>
      <c r="I208" s="232"/>
      <c r="K208" s="232"/>
      <c r="N208" s="232"/>
    </row>
    <row r="209">
      <c r="F209" s="232"/>
      <c r="I209" s="232"/>
      <c r="K209" s="232"/>
      <c r="N209" s="232"/>
    </row>
    <row r="210">
      <c r="F210" s="232"/>
      <c r="I210" s="232"/>
      <c r="K210" s="232"/>
      <c r="N210" s="232"/>
    </row>
    <row r="211">
      <c r="F211" s="232"/>
      <c r="I211" s="232"/>
      <c r="K211" s="232"/>
      <c r="N211" s="232"/>
    </row>
    <row r="212">
      <c r="F212" s="232"/>
      <c r="I212" s="232"/>
      <c r="K212" s="232"/>
      <c r="N212" s="232"/>
    </row>
    <row r="213">
      <c r="F213" s="232"/>
      <c r="I213" s="232"/>
      <c r="K213" s="232"/>
      <c r="N213" s="232"/>
    </row>
    <row r="214">
      <c r="F214" s="232"/>
      <c r="I214" s="232"/>
      <c r="K214" s="232"/>
      <c r="N214" s="232"/>
    </row>
    <row r="215">
      <c r="F215" s="232"/>
      <c r="I215" s="232"/>
      <c r="K215" s="232"/>
      <c r="N215" s="232"/>
    </row>
    <row r="216">
      <c r="F216" s="232"/>
      <c r="I216" s="232"/>
      <c r="K216" s="232"/>
      <c r="N216" s="232"/>
    </row>
    <row r="217">
      <c r="F217" s="232"/>
      <c r="I217" s="232"/>
      <c r="K217" s="232"/>
      <c r="N217" s="232"/>
    </row>
    <row r="218">
      <c r="F218" s="232"/>
      <c r="I218" s="232"/>
      <c r="K218" s="232"/>
      <c r="N218" s="232"/>
    </row>
    <row r="219">
      <c r="F219" s="232"/>
      <c r="I219" s="232"/>
      <c r="K219" s="232"/>
      <c r="N219" s="232"/>
    </row>
    <row r="220">
      <c r="F220" s="232"/>
      <c r="I220" s="232"/>
      <c r="K220" s="232"/>
      <c r="N220" s="232"/>
    </row>
    <row r="221">
      <c r="F221" s="232"/>
      <c r="I221" s="232"/>
      <c r="K221" s="232"/>
      <c r="N221" s="232"/>
    </row>
    <row r="222">
      <c r="F222" s="232"/>
      <c r="I222" s="232"/>
      <c r="K222" s="232"/>
      <c r="N222" s="232"/>
    </row>
    <row r="223">
      <c r="F223" s="232"/>
      <c r="I223" s="232"/>
      <c r="K223" s="232"/>
      <c r="N223" s="232"/>
    </row>
    <row r="224">
      <c r="F224" s="232"/>
      <c r="I224" s="232"/>
      <c r="K224" s="232"/>
      <c r="N224" s="232"/>
    </row>
    <row r="225">
      <c r="F225" s="232"/>
      <c r="I225" s="232"/>
      <c r="K225" s="232"/>
      <c r="N225" s="232"/>
    </row>
    <row r="226">
      <c r="F226" s="232"/>
      <c r="I226" s="232"/>
      <c r="K226" s="232"/>
      <c r="N226" s="232"/>
    </row>
    <row r="227">
      <c r="F227" s="232"/>
      <c r="I227" s="232"/>
      <c r="K227" s="232"/>
      <c r="N227" s="232"/>
    </row>
    <row r="228">
      <c r="F228" s="232"/>
      <c r="I228" s="232"/>
      <c r="K228" s="232"/>
      <c r="N228" s="232"/>
    </row>
    <row r="229">
      <c r="F229" s="232"/>
      <c r="I229" s="232"/>
      <c r="K229" s="232"/>
      <c r="N229" s="232"/>
    </row>
    <row r="230">
      <c r="F230" s="232"/>
      <c r="I230" s="232"/>
      <c r="K230" s="232"/>
      <c r="N230" s="232"/>
    </row>
    <row r="231">
      <c r="F231" s="232"/>
      <c r="I231" s="232"/>
      <c r="K231" s="232"/>
      <c r="N231" s="232"/>
    </row>
    <row r="232">
      <c r="F232" s="232"/>
      <c r="I232" s="232"/>
      <c r="K232" s="232"/>
      <c r="N232" s="232"/>
    </row>
    <row r="233">
      <c r="F233" s="232"/>
      <c r="I233" s="232"/>
      <c r="K233" s="232"/>
      <c r="N233" s="232"/>
    </row>
    <row r="234">
      <c r="F234" s="232"/>
      <c r="I234" s="232"/>
      <c r="K234" s="232"/>
      <c r="N234" s="232"/>
    </row>
    <row r="235">
      <c r="F235" s="232"/>
      <c r="I235" s="232"/>
      <c r="K235" s="232"/>
      <c r="N235" s="232"/>
    </row>
    <row r="236">
      <c r="F236" s="232"/>
      <c r="I236" s="232"/>
      <c r="K236" s="232"/>
      <c r="N236" s="232"/>
    </row>
    <row r="237">
      <c r="F237" s="232"/>
      <c r="I237" s="232"/>
      <c r="K237" s="232"/>
      <c r="N237" s="232"/>
    </row>
    <row r="238">
      <c r="F238" s="232"/>
      <c r="I238" s="232"/>
      <c r="K238" s="232"/>
      <c r="N238" s="232"/>
    </row>
    <row r="239">
      <c r="F239" s="232"/>
      <c r="I239" s="232"/>
      <c r="K239" s="232"/>
      <c r="N239" s="232"/>
    </row>
    <row r="240">
      <c r="F240" s="232"/>
      <c r="I240" s="232"/>
      <c r="K240" s="232"/>
      <c r="N240" s="232"/>
    </row>
    <row r="241">
      <c r="F241" s="232"/>
      <c r="I241" s="232"/>
      <c r="K241" s="232"/>
      <c r="N241" s="232"/>
    </row>
    <row r="242">
      <c r="F242" s="232"/>
      <c r="I242" s="232"/>
      <c r="K242" s="232"/>
      <c r="N242" s="232"/>
    </row>
    <row r="243">
      <c r="F243" s="232"/>
      <c r="I243" s="232"/>
      <c r="K243" s="232"/>
      <c r="N243" s="232"/>
    </row>
    <row r="244">
      <c r="F244" s="232"/>
      <c r="I244" s="232"/>
      <c r="K244" s="232"/>
      <c r="N244" s="232"/>
    </row>
    <row r="245">
      <c r="F245" s="232"/>
      <c r="I245" s="232"/>
      <c r="K245" s="232"/>
      <c r="N245" s="232"/>
    </row>
    <row r="246">
      <c r="F246" s="232"/>
      <c r="I246" s="232"/>
      <c r="K246" s="232"/>
      <c r="N246" s="232"/>
    </row>
    <row r="247">
      <c r="F247" s="232"/>
      <c r="I247" s="232"/>
      <c r="K247" s="232"/>
      <c r="N247" s="232"/>
    </row>
    <row r="248">
      <c r="F248" s="232"/>
      <c r="I248" s="232"/>
      <c r="K248" s="232"/>
      <c r="N248" s="232"/>
    </row>
    <row r="249">
      <c r="F249" s="232"/>
      <c r="I249" s="232"/>
      <c r="K249" s="232"/>
      <c r="N249" s="232"/>
    </row>
    <row r="250">
      <c r="F250" s="232"/>
      <c r="I250" s="232"/>
      <c r="K250" s="232"/>
      <c r="N250" s="232"/>
    </row>
    <row r="251">
      <c r="F251" s="232"/>
      <c r="I251" s="232"/>
      <c r="K251" s="232"/>
      <c r="N251" s="232"/>
    </row>
    <row r="252">
      <c r="F252" s="232"/>
      <c r="I252" s="232"/>
      <c r="K252" s="232"/>
      <c r="N252" s="232"/>
    </row>
    <row r="253">
      <c r="F253" s="232"/>
      <c r="I253" s="232"/>
      <c r="K253" s="232"/>
      <c r="N253" s="232"/>
    </row>
    <row r="254">
      <c r="F254" s="232"/>
      <c r="I254" s="232"/>
      <c r="K254" s="232"/>
      <c r="N254" s="232"/>
    </row>
    <row r="255">
      <c r="F255" s="232"/>
      <c r="I255" s="232"/>
      <c r="K255" s="232"/>
      <c r="N255" s="232"/>
    </row>
    <row r="256">
      <c r="F256" s="232"/>
      <c r="I256" s="232"/>
      <c r="K256" s="232"/>
      <c r="N256" s="232"/>
    </row>
    <row r="257">
      <c r="F257" s="232"/>
      <c r="I257" s="232"/>
      <c r="K257" s="232"/>
      <c r="N257" s="232"/>
    </row>
    <row r="258">
      <c r="F258" s="232"/>
      <c r="I258" s="232"/>
      <c r="K258" s="232"/>
      <c r="N258" s="232"/>
    </row>
    <row r="259">
      <c r="F259" s="232"/>
      <c r="I259" s="232"/>
      <c r="K259" s="232"/>
      <c r="N259" s="232"/>
    </row>
    <row r="260">
      <c r="F260" s="232"/>
      <c r="I260" s="232"/>
      <c r="K260" s="232"/>
      <c r="N260" s="232"/>
    </row>
    <row r="261">
      <c r="F261" s="232"/>
      <c r="I261" s="232"/>
      <c r="K261" s="232"/>
      <c r="N261" s="232"/>
    </row>
    <row r="262">
      <c r="F262" s="232"/>
      <c r="I262" s="232"/>
      <c r="K262" s="232"/>
      <c r="N262" s="232"/>
    </row>
    <row r="263">
      <c r="F263" s="232"/>
      <c r="I263" s="232"/>
      <c r="K263" s="232"/>
      <c r="N263" s="232"/>
    </row>
    <row r="264">
      <c r="F264" s="232"/>
      <c r="I264" s="232"/>
      <c r="K264" s="232"/>
      <c r="N264" s="232"/>
    </row>
    <row r="265">
      <c r="F265" s="232"/>
      <c r="I265" s="232"/>
      <c r="K265" s="232"/>
      <c r="N265" s="232"/>
    </row>
    <row r="266">
      <c r="F266" s="232"/>
      <c r="I266" s="232"/>
      <c r="K266" s="232"/>
      <c r="N266" s="232"/>
    </row>
    <row r="267">
      <c r="F267" s="232"/>
      <c r="I267" s="232"/>
      <c r="K267" s="232"/>
      <c r="N267" s="232"/>
    </row>
    <row r="268">
      <c r="F268" s="232"/>
      <c r="I268" s="232"/>
      <c r="K268" s="232"/>
      <c r="N268" s="232"/>
    </row>
    <row r="269">
      <c r="F269" s="232"/>
      <c r="I269" s="232"/>
      <c r="K269" s="232"/>
      <c r="N269" s="232"/>
    </row>
    <row r="270">
      <c r="F270" s="232"/>
      <c r="I270" s="232"/>
      <c r="K270" s="232"/>
      <c r="N270" s="232"/>
    </row>
    <row r="271">
      <c r="F271" s="232"/>
      <c r="I271" s="232"/>
      <c r="K271" s="232"/>
      <c r="N271" s="232"/>
    </row>
    <row r="272">
      <c r="F272" s="232"/>
      <c r="I272" s="232"/>
      <c r="K272" s="232"/>
      <c r="N272" s="232"/>
    </row>
    <row r="273">
      <c r="F273" s="232"/>
      <c r="I273" s="232"/>
      <c r="K273" s="232"/>
      <c r="N273" s="232"/>
    </row>
    <row r="274">
      <c r="F274" s="232"/>
      <c r="I274" s="232"/>
      <c r="K274" s="232"/>
      <c r="N274" s="232"/>
    </row>
    <row r="275">
      <c r="F275" s="232"/>
      <c r="I275" s="232"/>
      <c r="K275" s="232"/>
      <c r="N275" s="232"/>
    </row>
    <row r="276">
      <c r="F276" s="232"/>
      <c r="I276" s="232"/>
      <c r="K276" s="232"/>
      <c r="N276" s="232"/>
    </row>
    <row r="277">
      <c r="F277" s="232"/>
      <c r="I277" s="232"/>
      <c r="K277" s="232"/>
      <c r="N277" s="232"/>
    </row>
    <row r="278">
      <c r="F278" s="232"/>
      <c r="I278" s="232"/>
      <c r="K278" s="232"/>
      <c r="N278" s="232"/>
    </row>
    <row r="279">
      <c r="F279" s="232"/>
      <c r="I279" s="232"/>
      <c r="K279" s="232"/>
      <c r="N279" s="232"/>
    </row>
    <row r="280">
      <c r="F280" s="232"/>
      <c r="I280" s="232"/>
      <c r="K280" s="232"/>
      <c r="N280" s="232"/>
    </row>
    <row r="281">
      <c r="F281" s="232"/>
      <c r="I281" s="232"/>
      <c r="K281" s="232"/>
      <c r="N281" s="232"/>
    </row>
    <row r="282">
      <c r="F282" s="232"/>
      <c r="I282" s="232"/>
      <c r="K282" s="232"/>
      <c r="N282" s="232"/>
    </row>
    <row r="283">
      <c r="F283" s="232"/>
      <c r="I283" s="232"/>
      <c r="K283" s="232"/>
      <c r="N283" s="232"/>
    </row>
    <row r="284">
      <c r="F284" s="232"/>
      <c r="I284" s="232"/>
      <c r="K284" s="232"/>
      <c r="N284" s="232"/>
    </row>
    <row r="285">
      <c r="F285" s="232"/>
      <c r="I285" s="232"/>
      <c r="K285" s="232"/>
      <c r="N285" s="232"/>
    </row>
    <row r="286">
      <c r="F286" s="232"/>
      <c r="I286" s="232"/>
      <c r="K286" s="232"/>
      <c r="N286" s="232"/>
    </row>
    <row r="287">
      <c r="F287" s="232"/>
      <c r="I287" s="232"/>
      <c r="K287" s="232"/>
      <c r="N287" s="232"/>
    </row>
    <row r="288">
      <c r="F288" s="232"/>
      <c r="I288" s="232"/>
      <c r="K288" s="232"/>
      <c r="N288" s="232"/>
    </row>
    <row r="289">
      <c r="F289" s="232"/>
      <c r="I289" s="232"/>
      <c r="K289" s="232"/>
      <c r="N289" s="232"/>
    </row>
    <row r="290">
      <c r="F290" s="232"/>
      <c r="I290" s="232"/>
      <c r="K290" s="232"/>
      <c r="N290" s="232"/>
    </row>
    <row r="291">
      <c r="F291" s="232"/>
      <c r="I291" s="232"/>
      <c r="K291" s="232"/>
      <c r="N291" s="232"/>
    </row>
    <row r="292">
      <c r="F292" s="232"/>
      <c r="I292" s="232"/>
      <c r="K292" s="232"/>
      <c r="N292" s="232"/>
    </row>
    <row r="293">
      <c r="F293" s="232"/>
      <c r="I293" s="232"/>
      <c r="K293" s="232"/>
      <c r="N293" s="232"/>
    </row>
    <row r="294">
      <c r="F294" s="232"/>
      <c r="I294" s="232"/>
      <c r="K294" s="232"/>
      <c r="N294" s="232"/>
    </row>
    <row r="295">
      <c r="F295" s="232"/>
      <c r="I295" s="232"/>
      <c r="K295" s="232"/>
      <c r="N295" s="232"/>
    </row>
    <row r="296">
      <c r="F296" s="232"/>
      <c r="I296" s="232"/>
      <c r="K296" s="232"/>
      <c r="N296" s="232"/>
    </row>
    <row r="297">
      <c r="F297" s="232"/>
      <c r="I297" s="232"/>
      <c r="K297" s="232"/>
      <c r="N297" s="232"/>
    </row>
    <row r="298">
      <c r="F298" s="232"/>
      <c r="I298" s="232"/>
      <c r="K298" s="232"/>
      <c r="N298" s="232"/>
    </row>
    <row r="299">
      <c r="F299" s="232"/>
      <c r="I299" s="232"/>
      <c r="K299" s="232"/>
      <c r="N299" s="232"/>
    </row>
    <row r="300">
      <c r="F300" s="232"/>
      <c r="I300" s="232"/>
      <c r="K300" s="232"/>
      <c r="N300" s="232"/>
    </row>
    <row r="301">
      <c r="F301" s="232"/>
      <c r="I301" s="232"/>
      <c r="K301" s="232"/>
      <c r="N301" s="232"/>
    </row>
    <row r="302">
      <c r="F302" s="232"/>
      <c r="I302" s="232"/>
      <c r="K302" s="232"/>
      <c r="N302" s="232"/>
    </row>
    <row r="303">
      <c r="F303" s="232"/>
      <c r="I303" s="232"/>
      <c r="K303" s="232"/>
      <c r="N303" s="232"/>
    </row>
    <row r="304">
      <c r="F304" s="232"/>
      <c r="I304" s="232"/>
      <c r="K304" s="232"/>
      <c r="N304" s="232"/>
    </row>
    <row r="305">
      <c r="F305" s="232"/>
      <c r="I305" s="232"/>
      <c r="K305" s="232"/>
      <c r="N305" s="232"/>
    </row>
    <row r="306">
      <c r="F306" s="232"/>
      <c r="I306" s="232"/>
      <c r="K306" s="232"/>
      <c r="N306" s="232"/>
    </row>
    <row r="307">
      <c r="F307" s="232"/>
      <c r="I307" s="232"/>
      <c r="K307" s="232"/>
      <c r="N307" s="232"/>
    </row>
    <row r="308">
      <c r="F308" s="232"/>
      <c r="I308" s="232"/>
      <c r="K308" s="232"/>
      <c r="N308" s="232"/>
    </row>
    <row r="309">
      <c r="F309" s="232"/>
      <c r="I309" s="232"/>
      <c r="K309" s="232"/>
      <c r="N309" s="232"/>
    </row>
    <row r="310">
      <c r="F310" s="232"/>
      <c r="I310" s="232"/>
      <c r="K310" s="232"/>
      <c r="N310" s="232"/>
    </row>
    <row r="311">
      <c r="F311" s="232"/>
      <c r="I311" s="232"/>
      <c r="K311" s="232"/>
      <c r="N311" s="232"/>
    </row>
    <row r="312">
      <c r="F312" s="232"/>
      <c r="I312" s="232"/>
      <c r="K312" s="232"/>
      <c r="N312" s="232"/>
    </row>
    <row r="313">
      <c r="F313" s="232"/>
      <c r="I313" s="232"/>
      <c r="K313" s="232"/>
      <c r="N313" s="232"/>
    </row>
    <row r="314">
      <c r="F314" s="232"/>
      <c r="I314" s="232"/>
      <c r="K314" s="232"/>
      <c r="N314" s="232"/>
    </row>
    <row r="315">
      <c r="F315" s="232"/>
      <c r="I315" s="232"/>
      <c r="K315" s="232"/>
      <c r="N315" s="232"/>
    </row>
    <row r="316">
      <c r="F316" s="232"/>
      <c r="I316" s="232"/>
      <c r="K316" s="232"/>
      <c r="N316" s="232"/>
    </row>
    <row r="317">
      <c r="F317" s="232"/>
      <c r="I317" s="232"/>
      <c r="K317" s="232"/>
      <c r="N317" s="232"/>
    </row>
    <row r="318">
      <c r="F318" s="232"/>
      <c r="I318" s="232"/>
      <c r="K318" s="232"/>
      <c r="N318" s="232"/>
    </row>
    <row r="319">
      <c r="F319" s="232"/>
      <c r="I319" s="232"/>
      <c r="K319" s="232"/>
      <c r="N319" s="232"/>
    </row>
    <row r="320">
      <c r="F320" s="232"/>
      <c r="I320" s="232"/>
      <c r="K320" s="232"/>
      <c r="N320" s="232"/>
    </row>
    <row r="321">
      <c r="F321" s="232"/>
      <c r="I321" s="232"/>
      <c r="K321" s="232"/>
      <c r="N321" s="232"/>
    </row>
    <row r="322">
      <c r="F322" s="232"/>
      <c r="I322" s="232"/>
      <c r="K322" s="232"/>
      <c r="N322" s="232"/>
    </row>
    <row r="323">
      <c r="F323" s="232"/>
      <c r="I323" s="232"/>
      <c r="K323" s="232"/>
      <c r="N323" s="232"/>
    </row>
    <row r="324">
      <c r="F324" s="232"/>
      <c r="I324" s="232"/>
      <c r="K324" s="232"/>
      <c r="N324" s="232"/>
    </row>
    <row r="325">
      <c r="F325" s="232"/>
      <c r="I325" s="232"/>
      <c r="K325" s="232"/>
      <c r="N325" s="232"/>
    </row>
    <row r="326">
      <c r="F326" s="232"/>
      <c r="I326" s="232"/>
      <c r="K326" s="232"/>
      <c r="N326" s="232"/>
    </row>
    <row r="327">
      <c r="F327" s="232"/>
      <c r="I327" s="232"/>
      <c r="K327" s="232"/>
      <c r="N327" s="232"/>
    </row>
    <row r="328">
      <c r="F328" s="232"/>
      <c r="I328" s="232"/>
      <c r="K328" s="232"/>
      <c r="N328" s="232"/>
    </row>
    <row r="329">
      <c r="F329" s="232"/>
      <c r="I329" s="232"/>
      <c r="K329" s="232"/>
      <c r="N329" s="232"/>
    </row>
    <row r="330">
      <c r="F330" s="232"/>
      <c r="I330" s="232"/>
      <c r="K330" s="232"/>
      <c r="N330" s="232"/>
    </row>
    <row r="331">
      <c r="F331" s="232"/>
      <c r="I331" s="232"/>
      <c r="K331" s="232"/>
      <c r="N331" s="232"/>
    </row>
    <row r="332">
      <c r="F332" s="232"/>
      <c r="I332" s="232"/>
      <c r="K332" s="232"/>
      <c r="N332" s="232"/>
    </row>
    <row r="333">
      <c r="F333" s="232"/>
      <c r="I333" s="232"/>
      <c r="K333" s="232"/>
      <c r="N333" s="232"/>
    </row>
    <row r="334">
      <c r="F334" s="232"/>
      <c r="I334" s="232"/>
      <c r="K334" s="232"/>
      <c r="N334" s="232"/>
    </row>
    <row r="335">
      <c r="F335" s="232"/>
      <c r="I335" s="232"/>
      <c r="K335" s="232"/>
      <c r="N335" s="232"/>
    </row>
    <row r="336">
      <c r="F336" s="232"/>
      <c r="I336" s="232"/>
      <c r="K336" s="232"/>
      <c r="N336" s="232"/>
    </row>
    <row r="337">
      <c r="F337" s="232"/>
      <c r="I337" s="232"/>
      <c r="K337" s="232"/>
      <c r="N337" s="232"/>
    </row>
    <row r="338">
      <c r="F338" s="232"/>
      <c r="I338" s="232"/>
      <c r="K338" s="232"/>
      <c r="N338" s="232"/>
    </row>
    <row r="339">
      <c r="F339" s="232"/>
      <c r="I339" s="232"/>
      <c r="K339" s="232"/>
      <c r="N339" s="232"/>
    </row>
    <row r="340">
      <c r="F340" s="232"/>
      <c r="I340" s="232"/>
      <c r="K340" s="232"/>
      <c r="N340" s="232"/>
    </row>
    <row r="341">
      <c r="F341" s="232"/>
      <c r="I341" s="232"/>
      <c r="K341" s="232"/>
      <c r="N341" s="232"/>
    </row>
    <row r="342">
      <c r="F342" s="232"/>
      <c r="I342" s="232"/>
      <c r="K342" s="232"/>
      <c r="N342" s="232"/>
    </row>
    <row r="343">
      <c r="F343" s="232"/>
      <c r="I343" s="232"/>
      <c r="K343" s="232"/>
      <c r="N343" s="232"/>
    </row>
    <row r="344">
      <c r="F344" s="232"/>
      <c r="I344" s="232"/>
      <c r="K344" s="232"/>
      <c r="N344" s="232"/>
    </row>
    <row r="345">
      <c r="F345" s="232"/>
      <c r="I345" s="232"/>
      <c r="K345" s="232"/>
      <c r="N345" s="232"/>
    </row>
    <row r="346">
      <c r="F346" s="232"/>
      <c r="I346" s="232"/>
      <c r="K346" s="232"/>
      <c r="N346" s="232"/>
    </row>
    <row r="347">
      <c r="F347" s="232"/>
      <c r="I347" s="232"/>
      <c r="K347" s="232"/>
      <c r="N347" s="232"/>
    </row>
    <row r="348">
      <c r="F348" s="232"/>
      <c r="I348" s="232"/>
      <c r="K348" s="232"/>
      <c r="N348" s="232"/>
    </row>
    <row r="349">
      <c r="F349" s="232"/>
      <c r="I349" s="232"/>
      <c r="K349" s="232"/>
      <c r="N349" s="232"/>
    </row>
    <row r="350">
      <c r="F350" s="232"/>
      <c r="I350" s="232"/>
      <c r="K350" s="232"/>
      <c r="N350" s="232"/>
    </row>
    <row r="351">
      <c r="F351" s="232"/>
      <c r="I351" s="232"/>
      <c r="K351" s="232"/>
      <c r="N351" s="232"/>
    </row>
    <row r="352">
      <c r="F352" s="232"/>
      <c r="I352" s="232"/>
      <c r="K352" s="232"/>
      <c r="N352" s="232"/>
    </row>
    <row r="353">
      <c r="F353" s="232"/>
      <c r="I353" s="232"/>
      <c r="K353" s="232"/>
      <c r="N353" s="232"/>
    </row>
    <row r="354">
      <c r="F354" s="232"/>
      <c r="I354" s="232"/>
      <c r="K354" s="232"/>
      <c r="N354" s="232"/>
    </row>
    <row r="355">
      <c r="F355" s="232"/>
      <c r="I355" s="232"/>
      <c r="K355" s="232"/>
      <c r="N355" s="232"/>
    </row>
    <row r="356">
      <c r="F356" s="232"/>
      <c r="I356" s="232"/>
      <c r="K356" s="232"/>
      <c r="N356" s="232"/>
    </row>
    <row r="357">
      <c r="F357" s="232"/>
      <c r="I357" s="232"/>
      <c r="K357" s="232"/>
      <c r="N357" s="232"/>
    </row>
    <row r="358">
      <c r="F358" s="232"/>
      <c r="I358" s="232"/>
      <c r="K358" s="232"/>
      <c r="N358" s="232"/>
    </row>
    <row r="359">
      <c r="F359" s="232"/>
      <c r="I359" s="232"/>
      <c r="K359" s="232"/>
      <c r="N359" s="232"/>
    </row>
    <row r="360">
      <c r="F360" s="232"/>
      <c r="I360" s="232"/>
      <c r="K360" s="232"/>
      <c r="N360" s="232"/>
    </row>
    <row r="361">
      <c r="F361" s="232"/>
      <c r="I361" s="232"/>
      <c r="K361" s="232"/>
      <c r="N361" s="232"/>
    </row>
    <row r="362">
      <c r="F362" s="232"/>
      <c r="I362" s="232"/>
      <c r="K362" s="232"/>
      <c r="N362" s="232"/>
    </row>
    <row r="363">
      <c r="F363" s="232"/>
      <c r="I363" s="232"/>
      <c r="K363" s="232"/>
      <c r="N363" s="232"/>
    </row>
    <row r="364">
      <c r="F364" s="232"/>
      <c r="I364" s="232"/>
      <c r="K364" s="232"/>
      <c r="N364" s="232"/>
    </row>
    <row r="365">
      <c r="F365" s="232"/>
      <c r="I365" s="232"/>
      <c r="K365" s="232"/>
      <c r="N365" s="232"/>
    </row>
    <row r="366">
      <c r="F366" s="232"/>
      <c r="I366" s="232"/>
      <c r="K366" s="232"/>
      <c r="N366" s="232"/>
    </row>
    <row r="367">
      <c r="F367" s="232"/>
      <c r="I367" s="232"/>
      <c r="K367" s="232"/>
      <c r="N367" s="232"/>
    </row>
    <row r="368">
      <c r="F368" s="232"/>
      <c r="I368" s="232"/>
      <c r="K368" s="232"/>
      <c r="N368" s="232"/>
    </row>
    <row r="369">
      <c r="F369" s="232"/>
      <c r="I369" s="232"/>
      <c r="K369" s="232"/>
      <c r="N369" s="232"/>
    </row>
    <row r="370">
      <c r="F370" s="232"/>
      <c r="I370" s="232"/>
      <c r="K370" s="232"/>
      <c r="N370" s="232"/>
    </row>
    <row r="371">
      <c r="F371" s="232"/>
      <c r="I371" s="232"/>
      <c r="K371" s="232"/>
      <c r="N371" s="232"/>
    </row>
    <row r="372">
      <c r="F372" s="232"/>
      <c r="I372" s="232"/>
      <c r="K372" s="232"/>
      <c r="N372" s="232"/>
    </row>
    <row r="373">
      <c r="F373" s="232"/>
      <c r="I373" s="232"/>
      <c r="K373" s="232"/>
      <c r="N373" s="232"/>
    </row>
    <row r="374">
      <c r="F374" s="232"/>
      <c r="I374" s="232"/>
      <c r="K374" s="232"/>
      <c r="N374" s="232"/>
    </row>
    <row r="375">
      <c r="F375" s="232"/>
      <c r="I375" s="232"/>
      <c r="K375" s="232"/>
      <c r="N375" s="232"/>
    </row>
    <row r="376">
      <c r="F376" s="232"/>
      <c r="I376" s="232"/>
      <c r="K376" s="232"/>
      <c r="N376" s="232"/>
    </row>
    <row r="377">
      <c r="F377" s="232"/>
      <c r="I377" s="232"/>
      <c r="K377" s="232"/>
      <c r="N377" s="232"/>
    </row>
    <row r="378">
      <c r="F378" s="232"/>
      <c r="I378" s="232"/>
      <c r="K378" s="232"/>
      <c r="N378" s="232"/>
    </row>
    <row r="379">
      <c r="F379" s="232"/>
      <c r="I379" s="232"/>
      <c r="K379" s="232"/>
      <c r="N379" s="232"/>
    </row>
    <row r="380">
      <c r="F380" s="232"/>
      <c r="I380" s="232"/>
      <c r="K380" s="232"/>
      <c r="N380" s="232"/>
    </row>
    <row r="381">
      <c r="F381" s="232"/>
      <c r="I381" s="232"/>
      <c r="K381" s="232"/>
      <c r="N381" s="232"/>
    </row>
    <row r="382">
      <c r="F382" s="232"/>
      <c r="I382" s="232"/>
      <c r="K382" s="232"/>
      <c r="N382" s="232"/>
    </row>
    <row r="383">
      <c r="F383" s="232"/>
      <c r="I383" s="232"/>
      <c r="K383" s="232"/>
      <c r="N383" s="232"/>
    </row>
    <row r="384">
      <c r="F384" s="232"/>
      <c r="I384" s="232"/>
      <c r="K384" s="232"/>
      <c r="N384" s="232"/>
    </row>
    <row r="385">
      <c r="F385" s="232"/>
      <c r="I385" s="232"/>
      <c r="K385" s="232"/>
      <c r="N385" s="232"/>
    </row>
    <row r="386">
      <c r="F386" s="232"/>
      <c r="I386" s="232"/>
      <c r="K386" s="232"/>
      <c r="N386" s="232"/>
    </row>
    <row r="387">
      <c r="F387" s="232"/>
      <c r="I387" s="232"/>
      <c r="K387" s="232"/>
      <c r="N387" s="232"/>
    </row>
    <row r="388">
      <c r="F388" s="232"/>
      <c r="I388" s="232"/>
      <c r="K388" s="232"/>
      <c r="N388" s="232"/>
    </row>
    <row r="389">
      <c r="F389" s="232"/>
      <c r="I389" s="232"/>
      <c r="K389" s="232"/>
      <c r="N389" s="232"/>
    </row>
    <row r="390">
      <c r="F390" s="232"/>
      <c r="I390" s="232"/>
      <c r="K390" s="232"/>
      <c r="N390" s="232"/>
    </row>
    <row r="391">
      <c r="F391" s="232"/>
      <c r="I391" s="232"/>
      <c r="K391" s="232"/>
      <c r="N391" s="232"/>
    </row>
    <row r="392">
      <c r="F392" s="232"/>
      <c r="I392" s="232"/>
      <c r="K392" s="232"/>
      <c r="N392" s="232"/>
    </row>
    <row r="393">
      <c r="F393" s="232"/>
      <c r="I393" s="232"/>
      <c r="K393" s="232"/>
      <c r="N393" s="232"/>
    </row>
    <row r="394">
      <c r="F394" s="232"/>
      <c r="I394" s="232"/>
      <c r="K394" s="232"/>
      <c r="N394" s="232"/>
    </row>
    <row r="395">
      <c r="F395" s="232"/>
      <c r="I395" s="232"/>
      <c r="K395" s="232"/>
      <c r="N395" s="232"/>
    </row>
    <row r="396">
      <c r="F396" s="232"/>
      <c r="I396" s="232"/>
      <c r="K396" s="232"/>
      <c r="N396" s="232"/>
    </row>
    <row r="397">
      <c r="F397" s="232"/>
      <c r="I397" s="232"/>
      <c r="K397" s="232"/>
      <c r="N397" s="232"/>
    </row>
    <row r="398">
      <c r="F398" s="232"/>
      <c r="I398" s="232"/>
      <c r="K398" s="232"/>
      <c r="N398" s="232"/>
    </row>
    <row r="399">
      <c r="F399" s="232"/>
      <c r="I399" s="232"/>
      <c r="K399" s="232"/>
      <c r="N399" s="232"/>
    </row>
    <row r="400">
      <c r="F400" s="232"/>
      <c r="I400" s="232"/>
      <c r="K400" s="232"/>
      <c r="N400" s="232"/>
    </row>
    <row r="401">
      <c r="F401" s="232"/>
      <c r="I401" s="232"/>
      <c r="K401" s="232"/>
      <c r="N401" s="232"/>
    </row>
    <row r="402">
      <c r="F402" s="232"/>
      <c r="I402" s="232"/>
      <c r="K402" s="232"/>
      <c r="N402" s="232"/>
    </row>
    <row r="403">
      <c r="F403" s="232"/>
      <c r="I403" s="232"/>
      <c r="K403" s="232"/>
      <c r="N403" s="232"/>
    </row>
    <row r="404">
      <c r="F404" s="232"/>
      <c r="I404" s="232"/>
      <c r="K404" s="232"/>
      <c r="N404" s="232"/>
    </row>
    <row r="405">
      <c r="F405" s="232"/>
      <c r="I405" s="232"/>
      <c r="K405" s="232"/>
      <c r="N405" s="232"/>
    </row>
    <row r="406">
      <c r="F406" s="232"/>
      <c r="I406" s="232"/>
      <c r="K406" s="232"/>
      <c r="N406" s="232"/>
    </row>
    <row r="407">
      <c r="F407" s="232"/>
      <c r="I407" s="232"/>
      <c r="K407" s="232"/>
      <c r="N407" s="232"/>
    </row>
    <row r="408">
      <c r="F408" s="232"/>
      <c r="I408" s="232"/>
      <c r="K408" s="232"/>
      <c r="N408" s="232"/>
    </row>
    <row r="409">
      <c r="F409" s="232"/>
      <c r="I409" s="232"/>
      <c r="K409" s="232"/>
      <c r="N409" s="232"/>
    </row>
    <row r="410">
      <c r="F410" s="232"/>
      <c r="I410" s="232"/>
      <c r="K410" s="232"/>
      <c r="N410" s="232"/>
    </row>
    <row r="411">
      <c r="F411" s="232"/>
      <c r="I411" s="232"/>
      <c r="K411" s="232"/>
      <c r="N411" s="232"/>
    </row>
    <row r="412">
      <c r="F412" s="232"/>
      <c r="I412" s="232"/>
      <c r="K412" s="232"/>
      <c r="N412" s="232"/>
    </row>
    <row r="413">
      <c r="F413" s="232"/>
      <c r="I413" s="232"/>
      <c r="K413" s="232"/>
      <c r="N413" s="232"/>
    </row>
    <row r="414">
      <c r="F414" s="232"/>
      <c r="I414" s="232"/>
      <c r="K414" s="232"/>
      <c r="N414" s="232"/>
    </row>
    <row r="415">
      <c r="F415" s="232"/>
      <c r="I415" s="232"/>
      <c r="K415" s="232"/>
      <c r="N415" s="232"/>
    </row>
    <row r="416">
      <c r="F416" s="232"/>
      <c r="I416" s="232"/>
      <c r="K416" s="232"/>
      <c r="N416" s="232"/>
    </row>
    <row r="417">
      <c r="F417" s="232"/>
      <c r="I417" s="232"/>
      <c r="K417" s="232"/>
      <c r="N417" s="232"/>
    </row>
    <row r="418">
      <c r="F418" s="232"/>
      <c r="I418" s="232"/>
      <c r="K418" s="232"/>
      <c r="N418" s="232"/>
    </row>
    <row r="419">
      <c r="F419" s="232"/>
      <c r="I419" s="232"/>
      <c r="K419" s="232"/>
      <c r="N419" s="232"/>
    </row>
    <row r="420">
      <c r="F420" s="232"/>
      <c r="I420" s="232"/>
      <c r="K420" s="232"/>
      <c r="N420" s="232"/>
    </row>
    <row r="421">
      <c r="F421" s="232"/>
      <c r="I421" s="232"/>
      <c r="K421" s="232"/>
      <c r="N421" s="232"/>
    </row>
    <row r="422">
      <c r="F422" s="232"/>
      <c r="I422" s="232"/>
      <c r="K422" s="232"/>
      <c r="N422" s="232"/>
    </row>
    <row r="423">
      <c r="F423" s="232"/>
      <c r="I423" s="232"/>
      <c r="K423" s="232"/>
      <c r="N423" s="232"/>
    </row>
    <row r="424">
      <c r="F424" s="232"/>
      <c r="I424" s="232"/>
      <c r="K424" s="232"/>
      <c r="N424" s="232"/>
    </row>
    <row r="425">
      <c r="F425" s="232"/>
      <c r="I425" s="232"/>
      <c r="K425" s="232"/>
      <c r="N425" s="232"/>
    </row>
    <row r="426">
      <c r="F426" s="232"/>
      <c r="I426" s="232"/>
      <c r="K426" s="232"/>
      <c r="N426" s="232"/>
    </row>
    <row r="427">
      <c r="F427" s="232"/>
      <c r="I427" s="232"/>
      <c r="K427" s="232"/>
      <c r="N427" s="232"/>
    </row>
    <row r="428">
      <c r="F428" s="232"/>
      <c r="I428" s="232"/>
      <c r="K428" s="232"/>
      <c r="N428" s="232"/>
    </row>
    <row r="429">
      <c r="F429" s="232"/>
      <c r="I429" s="232"/>
      <c r="K429" s="232"/>
      <c r="N429" s="232"/>
    </row>
    <row r="430">
      <c r="F430" s="232"/>
      <c r="I430" s="232"/>
      <c r="K430" s="232"/>
      <c r="N430" s="232"/>
    </row>
    <row r="431">
      <c r="F431" s="232"/>
      <c r="I431" s="232"/>
      <c r="K431" s="232"/>
      <c r="N431" s="232"/>
    </row>
    <row r="432">
      <c r="F432" s="232"/>
      <c r="I432" s="232"/>
      <c r="K432" s="232"/>
      <c r="N432" s="232"/>
    </row>
    <row r="433">
      <c r="F433" s="232"/>
      <c r="I433" s="232"/>
      <c r="K433" s="232"/>
      <c r="N433" s="232"/>
    </row>
    <row r="434">
      <c r="F434" s="232"/>
      <c r="I434" s="232"/>
      <c r="K434" s="232"/>
      <c r="N434" s="232"/>
    </row>
    <row r="435">
      <c r="F435" s="232"/>
      <c r="I435" s="232"/>
      <c r="K435" s="232"/>
      <c r="N435" s="232"/>
    </row>
    <row r="436">
      <c r="F436" s="232"/>
      <c r="I436" s="232"/>
      <c r="K436" s="232"/>
      <c r="N436" s="232"/>
    </row>
    <row r="437">
      <c r="F437" s="232"/>
      <c r="I437" s="232"/>
      <c r="K437" s="232"/>
      <c r="N437" s="232"/>
    </row>
    <row r="438">
      <c r="F438" s="232"/>
      <c r="I438" s="232"/>
      <c r="K438" s="232"/>
      <c r="N438" s="232"/>
    </row>
    <row r="439">
      <c r="F439" s="232"/>
      <c r="I439" s="232"/>
      <c r="K439" s="232"/>
      <c r="N439" s="232"/>
    </row>
    <row r="440">
      <c r="F440" s="232"/>
      <c r="I440" s="232"/>
      <c r="K440" s="232"/>
      <c r="N440" s="232"/>
    </row>
    <row r="441">
      <c r="F441" s="232"/>
      <c r="I441" s="232"/>
      <c r="K441" s="232"/>
      <c r="N441" s="232"/>
    </row>
    <row r="442">
      <c r="F442" s="232"/>
      <c r="I442" s="232"/>
      <c r="K442" s="232"/>
      <c r="N442" s="232"/>
    </row>
    <row r="443">
      <c r="F443" s="232"/>
      <c r="I443" s="232"/>
      <c r="K443" s="232"/>
      <c r="N443" s="232"/>
    </row>
    <row r="444">
      <c r="F444" s="232"/>
      <c r="I444" s="232"/>
      <c r="K444" s="232"/>
      <c r="N444" s="232"/>
    </row>
    <row r="445">
      <c r="F445" s="232"/>
      <c r="I445" s="232"/>
      <c r="K445" s="232"/>
      <c r="N445" s="232"/>
    </row>
    <row r="446">
      <c r="F446" s="232"/>
      <c r="I446" s="232"/>
      <c r="K446" s="232"/>
      <c r="N446" s="232"/>
    </row>
    <row r="447">
      <c r="F447" s="232"/>
      <c r="I447" s="232"/>
      <c r="K447" s="232"/>
      <c r="N447" s="232"/>
    </row>
    <row r="448">
      <c r="F448" s="232"/>
      <c r="I448" s="232"/>
      <c r="K448" s="232"/>
      <c r="N448" s="232"/>
    </row>
    <row r="449">
      <c r="F449" s="232"/>
      <c r="I449" s="232"/>
      <c r="K449" s="232"/>
      <c r="N449" s="232"/>
    </row>
    <row r="450">
      <c r="F450" s="232"/>
      <c r="I450" s="232"/>
      <c r="K450" s="232"/>
      <c r="N450" s="232"/>
    </row>
    <row r="451">
      <c r="F451" s="232"/>
      <c r="I451" s="232"/>
      <c r="K451" s="232"/>
      <c r="N451" s="232"/>
    </row>
    <row r="452">
      <c r="F452" s="232"/>
      <c r="I452" s="232"/>
      <c r="K452" s="232"/>
      <c r="N452" s="232"/>
    </row>
    <row r="453">
      <c r="F453" s="232"/>
      <c r="I453" s="232"/>
      <c r="K453" s="232"/>
      <c r="N453" s="232"/>
    </row>
    <row r="454">
      <c r="F454" s="232"/>
      <c r="I454" s="232"/>
      <c r="K454" s="232"/>
      <c r="N454" s="232"/>
    </row>
    <row r="455">
      <c r="F455" s="232"/>
      <c r="I455" s="232"/>
      <c r="K455" s="232"/>
      <c r="N455" s="232"/>
    </row>
    <row r="456">
      <c r="F456" s="232"/>
      <c r="I456" s="232"/>
      <c r="K456" s="232"/>
      <c r="N456" s="232"/>
    </row>
    <row r="457">
      <c r="F457" s="232"/>
      <c r="I457" s="232"/>
      <c r="K457" s="232"/>
      <c r="N457" s="232"/>
    </row>
    <row r="458">
      <c r="F458" s="232"/>
      <c r="I458" s="232"/>
      <c r="K458" s="232"/>
      <c r="N458" s="232"/>
    </row>
    <row r="459">
      <c r="F459" s="232"/>
      <c r="I459" s="232"/>
      <c r="K459" s="232"/>
      <c r="N459" s="232"/>
    </row>
    <row r="460">
      <c r="F460" s="232"/>
      <c r="I460" s="232"/>
      <c r="K460" s="232"/>
      <c r="N460" s="232"/>
    </row>
    <row r="461">
      <c r="F461" s="232"/>
      <c r="I461" s="232"/>
      <c r="K461" s="232"/>
      <c r="N461" s="232"/>
    </row>
    <row r="462">
      <c r="F462" s="232"/>
      <c r="I462" s="232"/>
      <c r="K462" s="232"/>
      <c r="N462" s="232"/>
    </row>
    <row r="463">
      <c r="F463" s="232"/>
      <c r="I463" s="232"/>
      <c r="K463" s="232"/>
      <c r="N463" s="232"/>
    </row>
    <row r="464">
      <c r="F464" s="232"/>
      <c r="I464" s="232"/>
      <c r="K464" s="232"/>
      <c r="N464" s="232"/>
    </row>
    <row r="465">
      <c r="F465" s="232"/>
      <c r="I465" s="232"/>
      <c r="K465" s="232"/>
      <c r="N465" s="232"/>
    </row>
    <row r="466">
      <c r="F466" s="232"/>
      <c r="I466" s="232"/>
      <c r="K466" s="232"/>
      <c r="N466" s="232"/>
    </row>
    <row r="467">
      <c r="F467" s="232"/>
      <c r="I467" s="232"/>
      <c r="K467" s="232"/>
      <c r="N467" s="232"/>
    </row>
    <row r="468">
      <c r="F468" s="232"/>
      <c r="I468" s="232"/>
      <c r="K468" s="232"/>
      <c r="N468" s="232"/>
    </row>
    <row r="469">
      <c r="F469" s="232"/>
      <c r="I469" s="232"/>
      <c r="K469" s="232"/>
      <c r="N469" s="232"/>
    </row>
    <row r="470">
      <c r="F470" s="232"/>
      <c r="I470" s="232"/>
      <c r="K470" s="232"/>
      <c r="N470" s="232"/>
    </row>
    <row r="471">
      <c r="F471" s="232"/>
      <c r="I471" s="232"/>
      <c r="K471" s="232"/>
      <c r="N471" s="232"/>
    </row>
    <row r="472">
      <c r="F472" s="232"/>
      <c r="I472" s="232"/>
      <c r="K472" s="232"/>
      <c r="N472" s="232"/>
    </row>
    <row r="473">
      <c r="F473" s="232"/>
      <c r="I473" s="232"/>
      <c r="K473" s="232"/>
      <c r="N473" s="232"/>
    </row>
    <row r="474">
      <c r="F474" s="232"/>
      <c r="I474" s="232"/>
      <c r="K474" s="232"/>
      <c r="N474" s="232"/>
    </row>
    <row r="475">
      <c r="F475" s="232"/>
      <c r="I475" s="232"/>
      <c r="K475" s="232"/>
      <c r="N475" s="232"/>
    </row>
    <row r="476">
      <c r="F476" s="232"/>
      <c r="I476" s="232"/>
      <c r="K476" s="232"/>
      <c r="N476" s="232"/>
    </row>
    <row r="477">
      <c r="F477" s="232"/>
      <c r="I477" s="232"/>
      <c r="K477" s="232"/>
      <c r="N477" s="232"/>
    </row>
    <row r="478">
      <c r="F478" s="232"/>
      <c r="I478" s="232"/>
      <c r="K478" s="232"/>
      <c r="N478" s="232"/>
    </row>
    <row r="479">
      <c r="F479" s="232"/>
      <c r="I479" s="232"/>
      <c r="K479" s="232"/>
      <c r="N479" s="232"/>
    </row>
    <row r="480">
      <c r="F480" s="232"/>
      <c r="I480" s="232"/>
      <c r="K480" s="232"/>
      <c r="N480" s="232"/>
    </row>
    <row r="481">
      <c r="F481" s="232"/>
      <c r="I481" s="232"/>
      <c r="K481" s="232"/>
      <c r="N481" s="232"/>
    </row>
    <row r="482">
      <c r="F482" s="232"/>
      <c r="I482" s="232"/>
      <c r="K482" s="232"/>
      <c r="N482" s="232"/>
    </row>
    <row r="483">
      <c r="F483" s="232"/>
      <c r="I483" s="232"/>
      <c r="K483" s="232"/>
      <c r="N483" s="232"/>
    </row>
    <row r="484">
      <c r="F484" s="232"/>
      <c r="I484" s="232"/>
      <c r="K484" s="232"/>
      <c r="N484" s="232"/>
    </row>
    <row r="485">
      <c r="F485" s="232"/>
      <c r="I485" s="232"/>
      <c r="K485" s="232"/>
      <c r="N485" s="232"/>
    </row>
    <row r="486">
      <c r="F486" s="232"/>
      <c r="I486" s="232"/>
      <c r="K486" s="232"/>
      <c r="N486" s="232"/>
    </row>
    <row r="487">
      <c r="F487" s="232"/>
      <c r="I487" s="232"/>
      <c r="K487" s="232"/>
      <c r="N487" s="232"/>
    </row>
    <row r="488">
      <c r="F488" s="232"/>
      <c r="I488" s="232"/>
      <c r="K488" s="232"/>
      <c r="N488" s="232"/>
    </row>
    <row r="489">
      <c r="F489" s="232"/>
      <c r="I489" s="232"/>
      <c r="K489" s="232"/>
      <c r="N489" s="232"/>
    </row>
    <row r="490">
      <c r="F490" s="232"/>
      <c r="I490" s="232"/>
      <c r="K490" s="232"/>
      <c r="N490" s="232"/>
    </row>
    <row r="491">
      <c r="F491" s="232"/>
      <c r="I491" s="232"/>
      <c r="K491" s="232"/>
      <c r="N491" s="232"/>
    </row>
    <row r="492">
      <c r="F492" s="232"/>
      <c r="I492" s="232"/>
      <c r="K492" s="232"/>
      <c r="N492" s="232"/>
    </row>
    <row r="493">
      <c r="F493" s="232"/>
      <c r="I493" s="232"/>
      <c r="K493" s="232"/>
      <c r="N493" s="232"/>
    </row>
    <row r="494">
      <c r="F494" s="232"/>
      <c r="I494" s="232"/>
      <c r="K494" s="232"/>
      <c r="N494" s="232"/>
    </row>
    <row r="495">
      <c r="F495" s="232"/>
      <c r="I495" s="232"/>
      <c r="K495" s="232"/>
      <c r="N495" s="232"/>
    </row>
    <row r="496">
      <c r="F496" s="232"/>
      <c r="I496" s="232"/>
      <c r="K496" s="232"/>
      <c r="N496" s="232"/>
    </row>
    <row r="497">
      <c r="F497" s="232"/>
      <c r="I497" s="232"/>
      <c r="K497" s="232"/>
      <c r="N497" s="232"/>
    </row>
    <row r="498">
      <c r="F498" s="232"/>
      <c r="I498" s="232"/>
      <c r="K498" s="232"/>
      <c r="N498" s="232"/>
    </row>
    <row r="499">
      <c r="F499" s="232"/>
      <c r="I499" s="232"/>
      <c r="K499" s="232"/>
      <c r="N499" s="232"/>
    </row>
    <row r="500">
      <c r="F500" s="232"/>
      <c r="I500" s="232"/>
      <c r="K500" s="232"/>
      <c r="N500" s="232"/>
    </row>
    <row r="501">
      <c r="F501" s="232"/>
      <c r="I501" s="232"/>
      <c r="K501" s="232"/>
      <c r="N501" s="232"/>
    </row>
    <row r="502">
      <c r="F502" s="232"/>
      <c r="I502" s="232"/>
      <c r="K502" s="232"/>
      <c r="N502" s="232"/>
    </row>
    <row r="503">
      <c r="F503" s="232"/>
      <c r="I503" s="232"/>
      <c r="K503" s="232"/>
      <c r="N503" s="232"/>
    </row>
    <row r="504">
      <c r="F504" s="232"/>
      <c r="I504" s="232"/>
      <c r="K504" s="232"/>
      <c r="N504" s="232"/>
    </row>
    <row r="505">
      <c r="F505" s="232"/>
      <c r="I505" s="232"/>
      <c r="K505" s="232"/>
      <c r="N505" s="232"/>
    </row>
    <row r="506">
      <c r="F506" s="232"/>
      <c r="I506" s="232"/>
      <c r="K506" s="232"/>
      <c r="N506" s="232"/>
    </row>
    <row r="507">
      <c r="F507" s="232"/>
      <c r="I507" s="232"/>
      <c r="K507" s="232"/>
      <c r="N507" s="232"/>
    </row>
    <row r="508">
      <c r="F508" s="232"/>
      <c r="I508" s="232"/>
      <c r="K508" s="232"/>
      <c r="N508" s="232"/>
    </row>
    <row r="509">
      <c r="F509" s="232"/>
      <c r="I509" s="232"/>
      <c r="K509" s="232"/>
      <c r="N509" s="232"/>
    </row>
    <row r="510">
      <c r="F510" s="232"/>
      <c r="I510" s="232"/>
      <c r="K510" s="232"/>
      <c r="N510" s="232"/>
    </row>
    <row r="511">
      <c r="F511" s="232"/>
      <c r="I511" s="232"/>
      <c r="K511" s="232"/>
      <c r="N511" s="232"/>
    </row>
    <row r="512">
      <c r="F512" s="232"/>
      <c r="I512" s="232"/>
      <c r="K512" s="232"/>
      <c r="N512" s="232"/>
    </row>
    <row r="513">
      <c r="F513" s="232"/>
      <c r="I513" s="232"/>
      <c r="K513" s="232"/>
      <c r="N513" s="232"/>
    </row>
    <row r="514">
      <c r="F514" s="232"/>
      <c r="I514" s="232"/>
      <c r="K514" s="232"/>
      <c r="N514" s="232"/>
    </row>
    <row r="515">
      <c r="F515" s="232"/>
      <c r="I515" s="232"/>
      <c r="K515" s="232"/>
      <c r="N515" s="232"/>
    </row>
    <row r="516">
      <c r="F516" s="232"/>
      <c r="I516" s="232"/>
      <c r="K516" s="232"/>
      <c r="N516" s="232"/>
    </row>
    <row r="517">
      <c r="F517" s="232"/>
      <c r="I517" s="232"/>
      <c r="K517" s="232"/>
      <c r="N517" s="232"/>
    </row>
    <row r="518">
      <c r="F518" s="232"/>
      <c r="I518" s="232"/>
      <c r="K518" s="232"/>
      <c r="N518" s="232"/>
    </row>
    <row r="519">
      <c r="F519" s="232"/>
      <c r="I519" s="232"/>
      <c r="K519" s="232"/>
      <c r="N519" s="232"/>
    </row>
    <row r="520">
      <c r="F520" s="232"/>
      <c r="I520" s="232"/>
      <c r="K520" s="232"/>
      <c r="N520" s="232"/>
    </row>
    <row r="521">
      <c r="F521" s="232"/>
      <c r="I521" s="232"/>
      <c r="K521" s="232"/>
      <c r="N521" s="232"/>
    </row>
    <row r="522">
      <c r="F522" s="232"/>
      <c r="I522" s="232"/>
      <c r="K522" s="232"/>
      <c r="N522" s="232"/>
    </row>
    <row r="523">
      <c r="F523" s="232"/>
      <c r="I523" s="232"/>
      <c r="K523" s="232"/>
      <c r="N523" s="232"/>
    </row>
    <row r="524">
      <c r="F524" s="232"/>
      <c r="I524" s="232"/>
      <c r="K524" s="232"/>
      <c r="N524" s="232"/>
    </row>
    <row r="525">
      <c r="F525" s="232"/>
      <c r="I525" s="232"/>
      <c r="K525" s="232"/>
      <c r="N525" s="232"/>
    </row>
    <row r="526">
      <c r="F526" s="232"/>
      <c r="I526" s="232"/>
      <c r="K526" s="232"/>
      <c r="N526" s="232"/>
    </row>
    <row r="527">
      <c r="F527" s="232"/>
      <c r="I527" s="232"/>
      <c r="K527" s="232"/>
      <c r="N527" s="232"/>
    </row>
    <row r="528">
      <c r="F528" s="232"/>
      <c r="I528" s="232"/>
      <c r="K528" s="232"/>
      <c r="N528" s="232"/>
    </row>
    <row r="529">
      <c r="F529" s="232"/>
      <c r="I529" s="232"/>
      <c r="K529" s="232"/>
      <c r="N529" s="232"/>
    </row>
    <row r="530">
      <c r="F530" s="232"/>
      <c r="I530" s="232"/>
      <c r="K530" s="232"/>
      <c r="N530" s="232"/>
    </row>
    <row r="531">
      <c r="F531" s="232"/>
      <c r="I531" s="232"/>
      <c r="K531" s="232"/>
      <c r="N531" s="232"/>
    </row>
    <row r="532">
      <c r="F532" s="232"/>
      <c r="I532" s="232"/>
      <c r="K532" s="232"/>
      <c r="N532" s="232"/>
    </row>
    <row r="533">
      <c r="F533" s="232"/>
      <c r="I533" s="232"/>
      <c r="K533" s="232"/>
      <c r="N533" s="232"/>
    </row>
    <row r="534">
      <c r="F534" s="232"/>
      <c r="I534" s="232"/>
      <c r="K534" s="232"/>
      <c r="N534" s="232"/>
    </row>
    <row r="535">
      <c r="F535" s="232"/>
      <c r="I535" s="232"/>
      <c r="K535" s="232"/>
      <c r="N535" s="232"/>
    </row>
    <row r="536">
      <c r="F536" s="232"/>
      <c r="I536" s="232"/>
      <c r="K536" s="232"/>
      <c r="N536" s="232"/>
    </row>
    <row r="537">
      <c r="F537" s="232"/>
      <c r="I537" s="232"/>
      <c r="K537" s="232"/>
      <c r="N537" s="232"/>
    </row>
    <row r="538">
      <c r="F538" s="232"/>
      <c r="I538" s="232"/>
      <c r="K538" s="232"/>
      <c r="N538" s="232"/>
    </row>
    <row r="539">
      <c r="F539" s="232"/>
      <c r="I539" s="232"/>
      <c r="K539" s="232"/>
      <c r="N539" s="232"/>
    </row>
    <row r="540">
      <c r="F540" s="232"/>
      <c r="I540" s="232"/>
      <c r="K540" s="232"/>
      <c r="N540" s="232"/>
    </row>
    <row r="541">
      <c r="F541" s="232"/>
      <c r="I541" s="232"/>
      <c r="K541" s="232"/>
      <c r="N541" s="232"/>
    </row>
    <row r="542">
      <c r="F542" s="232"/>
      <c r="I542" s="232"/>
      <c r="K542" s="232"/>
      <c r="N542" s="232"/>
    </row>
    <row r="543">
      <c r="F543" s="232"/>
      <c r="I543" s="232"/>
      <c r="K543" s="232"/>
      <c r="N543" s="232"/>
    </row>
    <row r="544">
      <c r="F544" s="232"/>
      <c r="I544" s="232"/>
      <c r="K544" s="232"/>
      <c r="N544" s="232"/>
    </row>
    <row r="545">
      <c r="F545" s="232"/>
      <c r="I545" s="232"/>
      <c r="K545" s="232"/>
      <c r="N545" s="232"/>
    </row>
    <row r="546">
      <c r="F546" s="232"/>
      <c r="I546" s="232"/>
      <c r="K546" s="232"/>
      <c r="N546" s="232"/>
    </row>
    <row r="547">
      <c r="F547" s="232"/>
      <c r="I547" s="232"/>
      <c r="K547" s="232"/>
      <c r="N547" s="232"/>
    </row>
    <row r="548">
      <c r="F548" s="232"/>
      <c r="I548" s="232"/>
      <c r="K548" s="232"/>
      <c r="N548" s="232"/>
    </row>
    <row r="549">
      <c r="F549" s="232"/>
      <c r="I549" s="232"/>
      <c r="K549" s="232"/>
      <c r="N549" s="232"/>
    </row>
    <row r="550">
      <c r="F550" s="232"/>
      <c r="I550" s="232"/>
      <c r="K550" s="232"/>
      <c r="N550" s="232"/>
    </row>
    <row r="551">
      <c r="F551" s="232"/>
      <c r="I551" s="232"/>
      <c r="K551" s="232"/>
      <c r="N551" s="232"/>
    </row>
    <row r="552">
      <c r="F552" s="232"/>
      <c r="I552" s="232"/>
      <c r="K552" s="232"/>
      <c r="N552" s="232"/>
    </row>
    <row r="553">
      <c r="F553" s="232"/>
      <c r="I553" s="232"/>
      <c r="K553" s="232"/>
      <c r="N553" s="232"/>
    </row>
    <row r="554">
      <c r="F554" s="232"/>
      <c r="I554" s="232"/>
      <c r="K554" s="232"/>
      <c r="N554" s="232"/>
    </row>
    <row r="555">
      <c r="F555" s="232"/>
      <c r="I555" s="232"/>
      <c r="K555" s="232"/>
      <c r="N555" s="232"/>
    </row>
    <row r="556">
      <c r="F556" s="232"/>
      <c r="I556" s="232"/>
      <c r="K556" s="232"/>
      <c r="N556" s="232"/>
    </row>
    <row r="557">
      <c r="F557" s="232"/>
      <c r="I557" s="232"/>
      <c r="K557" s="232"/>
      <c r="N557" s="232"/>
    </row>
    <row r="558">
      <c r="F558" s="232"/>
      <c r="I558" s="232"/>
      <c r="K558" s="232"/>
      <c r="N558" s="232"/>
    </row>
    <row r="559">
      <c r="F559" s="232"/>
      <c r="I559" s="232"/>
      <c r="K559" s="232"/>
      <c r="N559" s="232"/>
    </row>
    <row r="560">
      <c r="F560" s="232"/>
      <c r="I560" s="232"/>
      <c r="K560" s="232"/>
      <c r="N560" s="232"/>
    </row>
    <row r="561">
      <c r="F561" s="232"/>
      <c r="I561" s="232"/>
      <c r="K561" s="232"/>
      <c r="N561" s="232"/>
    </row>
    <row r="562">
      <c r="F562" s="232"/>
      <c r="I562" s="232"/>
      <c r="K562" s="232"/>
      <c r="N562" s="232"/>
    </row>
    <row r="563">
      <c r="F563" s="232"/>
      <c r="I563" s="232"/>
      <c r="K563" s="232"/>
      <c r="N563" s="232"/>
    </row>
    <row r="564">
      <c r="F564" s="232"/>
      <c r="I564" s="232"/>
      <c r="K564" s="232"/>
      <c r="N564" s="232"/>
    </row>
    <row r="565">
      <c r="F565" s="232"/>
      <c r="I565" s="232"/>
      <c r="K565" s="232"/>
      <c r="N565" s="232"/>
    </row>
    <row r="566">
      <c r="F566" s="232"/>
      <c r="I566" s="232"/>
      <c r="K566" s="232"/>
      <c r="N566" s="232"/>
    </row>
    <row r="567">
      <c r="F567" s="232"/>
      <c r="I567" s="232"/>
      <c r="K567" s="232"/>
      <c r="N567" s="232"/>
    </row>
    <row r="568">
      <c r="F568" s="232"/>
      <c r="I568" s="232"/>
      <c r="K568" s="232"/>
      <c r="N568" s="232"/>
    </row>
    <row r="569">
      <c r="F569" s="232"/>
      <c r="I569" s="232"/>
      <c r="K569" s="232"/>
      <c r="N569" s="232"/>
    </row>
    <row r="570">
      <c r="F570" s="232"/>
      <c r="I570" s="232"/>
      <c r="K570" s="232"/>
      <c r="N570" s="232"/>
    </row>
    <row r="571">
      <c r="F571" s="232"/>
      <c r="I571" s="232"/>
      <c r="K571" s="232"/>
      <c r="N571" s="232"/>
    </row>
    <row r="572">
      <c r="F572" s="232"/>
      <c r="I572" s="232"/>
      <c r="K572" s="232"/>
      <c r="N572" s="232"/>
    </row>
    <row r="573">
      <c r="F573" s="232"/>
      <c r="I573" s="232"/>
      <c r="K573" s="232"/>
      <c r="N573" s="232"/>
    </row>
    <row r="574">
      <c r="F574" s="232"/>
      <c r="I574" s="232"/>
      <c r="K574" s="232"/>
      <c r="N574" s="232"/>
    </row>
    <row r="575">
      <c r="F575" s="232"/>
      <c r="I575" s="232"/>
      <c r="K575" s="232"/>
      <c r="N575" s="232"/>
    </row>
    <row r="576">
      <c r="F576" s="232"/>
      <c r="I576" s="232"/>
      <c r="K576" s="232"/>
      <c r="N576" s="232"/>
    </row>
    <row r="577">
      <c r="F577" s="232"/>
      <c r="I577" s="232"/>
      <c r="K577" s="232"/>
      <c r="N577" s="232"/>
    </row>
    <row r="578">
      <c r="F578" s="232"/>
      <c r="I578" s="232"/>
      <c r="K578" s="232"/>
      <c r="N578" s="232"/>
    </row>
    <row r="579">
      <c r="F579" s="232"/>
      <c r="I579" s="232"/>
      <c r="K579" s="232"/>
      <c r="N579" s="232"/>
    </row>
    <row r="580">
      <c r="F580" s="232"/>
      <c r="I580" s="232"/>
      <c r="K580" s="232"/>
      <c r="N580" s="232"/>
    </row>
    <row r="581">
      <c r="F581" s="232"/>
      <c r="I581" s="232"/>
      <c r="K581" s="232"/>
      <c r="N581" s="232"/>
    </row>
    <row r="582">
      <c r="F582" s="232"/>
      <c r="I582" s="232"/>
      <c r="K582" s="232"/>
      <c r="N582" s="232"/>
    </row>
    <row r="583">
      <c r="F583" s="232"/>
      <c r="I583" s="232"/>
      <c r="K583" s="232"/>
      <c r="N583" s="232"/>
    </row>
    <row r="584">
      <c r="F584" s="232"/>
      <c r="I584" s="232"/>
      <c r="K584" s="232"/>
      <c r="N584" s="232"/>
    </row>
    <row r="585">
      <c r="F585" s="232"/>
      <c r="I585" s="232"/>
      <c r="K585" s="232"/>
      <c r="N585" s="232"/>
    </row>
    <row r="586">
      <c r="F586" s="232"/>
      <c r="I586" s="232"/>
      <c r="K586" s="232"/>
      <c r="N586" s="232"/>
    </row>
    <row r="587">
      <c r="F587" s="232"/>
      <c r="I587" s="232"/>
      <c r="K587" s="232"/>
      <c r="N587" s="232"/>
    </row>
    <row r="588">
      <c r="F588" s="232"/>
      <c r="I588" s="232"/>
      <c r="K588" s="232"/>
      <c r="N588" s="232"/>
    </row>
    <row r="589">
      <c r="F589" s="232"/>
      <c r="I589" s="232"/>
      <c r="K589" s="232"/>
      <c r="N589" s="232"/>
    </row>
    <row r="590">
      <c r="F590" s="232"/>
      <c r="I590" s="232"/>
      <c r="K590" s="232"/>
      <c r="N590" s="232"/>
    </row>
    <row r="591">
      <c r="F591" s="232"/>
      <c r="I591" s="232"/>
      <c r="K591" s="232"/>
      <c r="N591" s="232"/>
    </row>
    <row r="592">
      <c r="F592" s="232"/>
      <c r="I592" s="232"/>
      <c r="K592" s="232"/>
      <c r="N592" s="232"/>
    </row>
    <row r="593">
      <c r="F593" s="232"/>
      <c r="I593" s="232"/>
      <c r="K593" s="232"/>
      <c r="N593" s="232"/>
    </row>
    <row r="594">
      <c r="F594" s="232"/>
      <c r="I594" s="232"/>
      <c r="K594" s="232"/>
      <c r="N594" s="232"/>
    </row>
    <row r="595">
      <c r="F595" s="232"/>
      <c r="I595" s="232"/>
      <c r="K595" s="232"/>
      <c r="N595" s="232"/>
    </row>
    <row r="596">
      <c r="F596" s="232"/>
      <c r="I596" s="232"/>
      <c r="K596" s="232"/>
      <c r="N596" s="232"/>
    </row>
    <row r="597">
      <c r="F597" s="232"/>
      <c r="I597" s="232"/>
      <c r="K597" s="232"/>
      <c r="N597" s="232"/>
    </row>
    <row r="598">
      <c r="F598" s="232"/>
      <c r="I598" s="232"/>
      <c r="K598" s="232"/>
      <c r="N598" s="232"/>
    </row>
    <row r="599">
      <c r="F599" s="232"/>
      <c r="I599" s="232"/>
      <c r="K599" s="232"/>
      <c r="N599" s="232"/>
    </row>
    <row r="600">
      <c r="F600" s="232"/>
      <c r="I600" s="232"/>
      <c r="K600" s="232"/>
      <c r="N600" s="232"/>
    </row>
    <row r="601">
      <c r="F601" s="232"/>
      <c r="I601" s="232"/>
      <c r="K601" s="232"/>
      <c r="N601" s="232"/>
    </row>
    <row r="602">
      <c r="F602" s="232"/>
      <c r="I602" s="232"/>
      <c r="K602" s="232"/>
      <c r="N602" s="232"/>
    </row>
    <row r="603">
      <c r="F603" s="232"/>
      <c r="I603" s="232"/>
      <c r="K603" s="232"/>
      <c r="N603" s="232"/>
    </row>
    <row r="604">
      <c r="F604" s="232"/>
      <c r="I604" s="232"/>
      <c r="K604" s="232"/>
      <c r="N604" s="232"/>
    </row>
    <row r="605">
      <c r="F605" s="232"/>
      <c r="I605" s="232"/>
      <c r="K605" s="232"/>
      <c r="N605" s="232"/>
    </row>
    <row r="606">
      <c r="F606" s="232"/>
      <c r="I606" s="232"/>
      <c r="K606" s="232"/>
      <c r="N606" s="232"/>
    </row>
    <row r="607">
      <c r="F607" s="232"/>
      <c r="I607" s="232"/>
      <c r="K607" s="232"/>
      <c r="N607" s="232"/>
    </row>
    <row r="608">
      <c r="F608" s="232"/>
      <c r="I608" s="232"/>
      <c r="K608" s="232"/>
      <c r="N608" s="232"/>
    </row>
    <row r="609">
      <c r="F609" s="232"/>
      <c r="I609" s="232"/>
      <c r="K609" s="232"/>
      <c r="N609" s="232"/>
    </row>
    <row r="610">
      <c r="F610" s="232"/>
      <c r="I610" s="232"/>
      <c r="K610" s="232"/>
      <c r="N610" s="232"/>
    </row>
    <row r="611">
      <c r="F611" s="232"/>
      <c r="I611" s="232"/>
      <c r="K611" s="232"/>
      <c r="N611" s="232"/>
    </row>
    <row r="612">
      <c r="F612" s="232"/>
      <c r="I612" s="232"/>
      <c r="K612" s="232"/>
      <c r="N612" s="232"/>
    </row>
    <row r="613">
      <c r="F613" s="232"/>
      <c r="I613" s="232"/>
      <c r="K613" s="232"/>
      <c r="N613" s="232"/>
    </row>
    <row r="614">
      <c r="F614" s="232"/>
      <c r="I614" s="232"/>
      <c r="K614" s="232"/>
      <c r="N614" s="232"/>
    </row>
    <row r="615">
      <c r="F615" s="232"/>
      <c r="I615" s="232"/>
      <c r="K615" s="232"/>
      <c r="N615" s="232"/>
    </row>
    <row r="616">
      <c r="F616" s="232"/>
      <c r="I616" s="232"/>
      <c r="K616" s="232"/>
      <c r="N616" s="232"/>
    </row>
    <row r="617">
      <c r="F617" s="232"/>
      <c r="I617" s="232"/>
      <c r="K617" s="232"/>
      <c r="N617" s="232"/>
    </row>
    <row r="618">
      <c r="F618" s="232"/>
      <c r="I618" s="232"/>
      <c r="K618" s="232"/>
      <c r="N618" s="232"/>
    </row>
    <row r="619">
      <c r="F619" s="232"/>
      <c r="I619" s="232"/>
      <c r="K619" s="232"/>
      <c r="N619" s="232"/>
    </row>
    <row r="620">
      <c r="F620" s="232"/>
      <c r="I620" s="232"/>
      <c r="K620" s="232"/>
      <c r="N620" s="232"/>
    </row>
    <row r="621">
      <c r="F621" s="232"/>
      <c r="I621" s="232"/>
      <c r="K621" s="232"/>
      <c r="N621" s="232"/>
    </row>
    <row r="622">
      <c r="F622" s="232"/>
      <c r="I622" s="232"/>
      <c r="K622" s="232"/>
      <c r="N622" s="232"/>
    </row>
    <row r="623">
      <c r="F623" s="232"/>
      <c r="I623" s="232"/>
      <c r="K623" s="232"/>
      <c r="N623" s="232"/>
    </row>
    <row r="624">
      <c r="F624" s="232"/>
      <c r="I624" s="232"/>
      <c r="K624" s="232"/>
      <c r="N624" s="232"/>
    </row>
    <row r="625">
      <c r="F625" s="232"/>
      <c r="I625" s="232"/>
      <c r="K625" s="232"/>
      <c r="N625" s="232"/>
    </row>
    <row r="626">
      <c r="F626" s="232"/>
      <c r="I626" s="232"/>
      <c r="K626" s="232"/>
      <c r="N626" s="232"/>
    </row>
    <row r="627">
      <c r="F627" s="232"/>
      <c r="I627" s="232"/>
      <c r="K627" s="232"/>
      <c r="N627" s="232"/>
    </row>
    <row r="628">
      <c r="F628" s="232"/>
      <c r="I628" s="232"/>
      <c r="K628" s="232"/>
      <c r="N628" s="232"/>
    </row>
    <row r="629">
      <c r="F629" s="232"/>
      <c r="I629" s="232"/>
      <c r="K629" s="232"/>
      <c r="N629" s="232"/>
    </row>
    <row r="630">
      <c r="F630" s="232"/>
      <c r="I630" s="232"/>
      <c r="K630" s="232"/>
      <c r="N630" s="232"/>
    </row>
    <row r="631">
      <c r="F631" s="232"/>
      <c r="I631" s="232"/>
      <c r="K631" s="232"/>
      <c r="N631" s="232"/>
    </row>
    <row r="632">
      <c r="F632" s="232"/>
      <c r="I632" s="232"/>
      <c r="K632" s="232"/>
      <c r="N632" s="232"/>
    </row>
    <row r="633">
      <c r="F633" s="232"/>
      <c r="I633" s="232"/>
      <c r="K633" s="232"/>
      <c r="N633" s="232"/>
    </row>
    <row r="634">
      <c r="F634" s="232"/>
      <c r="I634" s="232"/>
      <c r="K634" s="232"/>
      <c r="N634" s="232"/>
    </row>
    <row r="635">
      <c r="F635" s="232"/>
      <c r="I635" s="232"/>
      <c r="K635" s="232"/>
      <c r="N635" s="232"/>
    </row>
    <row r="636">
      <c r="F636" s="232"/>
      <c r="I636" s="232"/>
      <c r="K636" s="232"/>
      <c r="N636" s="232"/>
    </row>
    <row r="637">
      <c r="F637" s="232"/>
      <c r="I637" s="232"/>
      <c r="K637" s="232"/>
      <c r="N637" s="232"/>
    </row>
    <row r="638">
      <c r="F638" s="232"/>
      <c r="I638" s="232"/>
      <c r="K638" s="232"/>
      <c r="N638" s="232"/>
    </row>
    <row r="639">
      <c r="F639" s="232"/>
      <c r="I639" s="232"/>
      <c r="K639" s="232"/>
      <c r="N639" s="232"/>
    </row>
    <row r="640">
      <c r="F640" s="232"/>
      <c r="I640" s="232"/>
      <c r="K640" s="232"/>
      <c r="N640" s="232"/>
    </row>
    <row r="641">
      <c r="F641" s="232"/>
      <c r="I641" s="232"/>
      <c r="K641" s="232"/>
      <c r="N641" s="232"/>
    </row>
    <row r="642">
      <c r="F642" s="232"/>
      <c r="I642" s="232"/>
      <c r="K642" s="232"/>
      <c r="N642" s="232"/>
    </row>
    <row r="643">
      <c r="F643" s="232"/>
      <c r="I643" s="232"/>
      <c r="K643" s="232"/>
      <c r="N643" s="232"/>
    </row>
    <row r="644">
      <c r="F644" s="232"/>
      <c r="I644" s="232"/>
      <c r="K644" s="232"/>
      <c r="N644" s="232"/>
    </row>
    <row r="645">
      <c r="F645" s="232"/>
      <c r="I645" s="232"/>
      <c r="K645" s="232"/>
      <c r="N645" s="232"/>
    </row>
    <row r="646">
      <c r="F646" s="232"/>
      <c r="I646" s="232"/>
      <c r="K646" s="232"/>
      <c r="N646" s="232"/>
    </row>
    <row r="647">
      <c r="F647" s="232"/>
      <c r="I647" s="232"/>
      <c r="K647" s="232"/>
      <c r="N647" s="232"/>
    </row>
    <row r="648">
      <c r="F648" s="232"/>
      <c r="I648" s="232"/>
      <c r="K648" s="232"/>
      <c r="N648" s="232"/>
    </row>
    <row r="649">
      <c r="F649" s="232"/>
      <c r="I649" s="232"/>
      <c r="K649" s="232"/>
      <c r="N649" s="232"/>
    </row>
    <row r="650">
      <c r="F650" s="232"/>
      <c r="I650" s="232"/>
      <c r="K650" s="232"/>
      <c r="N650" s="232"/>
    </row>
    <row r="651">
      <c r="F651" s="232"/>
      <c r="I651" s="232"/>
      <c r="K651" s="232"/>
      <c r="N651" s="232"/>
    </row>
    <row r="652">
      <c r="F652" s="232"/>
      <c r="I652" s="232"/>
      <c r="K652" s="232"/>
      <c r="N652" s="232"/>
    </row>
    <row r="653">
      <c r="F653" s="232"/>
      <c r="I653" s="232"/>
      <c r="K653" s="232"/>
      <c r="N653" s="232"/>
    </row>
    <row r="654">
      <c r="F654" s="232"/>
      <c r="I654" s="232"/>
      <c r="K654" s="232"/>
      <c r="N654" s="232"/>
    </row>
    <row r="655">
      <c r="F655" s="232"/>
      <c r="I655" s="232"/>
      <c r="K655" s="232"/>
      <c r="N655" s="232"/>
    </row>
    <row r="656">
      <c r="F656" s="232"/>
      <c r="I656" s="232"/>
      <c r="K656" s="232"/>
      <c r="N656" s="232"/>
    </row>
    <row r="657">
      <c r="F657" s="232"/>
      <c r="I657" s="232"/>
      <c r="K657" s="232"/>
      <c r="N657" s="232"/>
    </row>
    <row r="658">
      <c r="F658" s="232"/>
      <c r="I658" s="232"/>
      <c r="K658" s="232"/>
      <c r="N658" s="232"/>
    </row>
    <row r="659">
      <c r="F659" s="232"/>
      <c r="I659" s="232"/>
      <c r="K659" s="232"/>
      <c r="N659" s="232"/>
    </row>
    <row r="660">
      <c r="F660" s="232"/>
      <c r="I660" s="232"/>
      <c r="K660" s="232"/>
      <c r="N660" s="232"/>
    </row>
    <row r="661">
      <c r="F661" s="232"/>
      <c r="I661" s="232"/>
      <c r="K661" s="232"/>
      <c r="N661" s="232"/>
    </row>
    <row r="662">
      <c r="F662" s="232"/>
      <c r="I662" s="232"/>
      <c r="K662" s="232"/>
      <c r="N662" s="232"/>
    </row>
    <row r="663">
      <c r="F663" s="232"/>
      <c r="I663" s="232"/>
      <c r="K663" s="232"/>
      <c r="N663" s="232"/>
    </row>
    <row r="664">
      <c r="F664" s="232"/>
      <c r="I664" s="232"/>
      <c r="K664" s="232"/>
      <c r="N664" s="232"/>
    </row>
    <row r="665">
      <c r="F665" s="232"/>
      <c r="I665" s="232"/>
      <c r="K665" s="232"/>
      <c r="N665" s="232"/>
    </row>
    <row r="666">
      <c r="F666" s="232"/>
      <c r="I666" s="232"/>
      <c r="K666" s="232"/>
      <c r="N666" s="232"/>
    </row>
    <row r="667">
      <c r="F667" s="232"/>
      <c r="I667" s="232"/>
      <c r="K667" s="232"/>
      <c r="N667" s="232"/>
    </row>
    <row r="668">
      <c r="F668" s="232"/>
      <c r="I668" s="232"/>
      <c r="K668" s="232"/>
      <c r="N668" s="232"/>
    </row>
    <row r="669">
      <c r="F669" s="232"/>
      <c r="I669" s="232"/>
      <c r="K669" s="232"/>
      <c r="N669" s="232"/>
    </row>
    <row r="670">
      <c r="F670" s="232"/>
      <c r="I670" s="232"/>
      <c r="K670" s="232"/>
      <c r="N670" s="232"/>
    </row>
    <row r="671">
      <c r="F671" s="232"/>
      <c r="I671" s="232"/>
      <c r="K671" s="232"/>
      <c r="N671" s="232"/>
    </row>
    <row r="672">
      <c r="F672" s="232"/>
      <c r="I672" s="232"/>
      <c r="K672" s="232"/>
      <c r="N672" s="232"/>
    </row>
    <row r="673">
      <c r="F673" s="232"/>
      <c r="I673" s="232"/>
      <c r="K673" s="232"/>
      <c r="N673" s="232"/>
    </row>
    <row r="674">
      <c r="F674" s="232"/>
      <c r="I674" s="232"/>
      <c r="K674" s="232"/>
      <c r="N674" s="232"/>
    </row>
    <row r="675">
      <c r="F675" s="232"/>
      <c r="I675" s="232"/>
      <c r="K675" s="232"/>
      <c r="N675" s="232"/>
    </row>
    <row r="676">
      <c r="F676" s="232"/>
      <c r="I676" s="232"/>
      <c r="K676" s="232"/>
      <c r="N676" s="232"/>
    </row>
    <row r="677">
      <c r="F677" s="232"/>
      <c r="I677" s="232"/>
      <c r="K677" s="232"/>
      <c r="N677" s="232"/>
    </row>
    <row r="678">
      <c r="F678" s="232"/>
      <c r="I678" s="232"/>
      <c r="K678" s="232"/>
      <c r="N678" s="232"/>
    </row>
    <row r="679">
      <c r="F679" s="232"/>
      <c r="I679" s="232"/>
      <c r="K679" s="232"/>
      <c r="N679" s="232"/>
    </row>
    <row r="680">
      <c r="F680" s="232"/>
      <c r="I680" s="232"/>
      <c r="K680" s="232"/>
      <c r="N680" s="232"/>
    </row>
    <row r="681">
      <c r="F681" s="232"/>
      <c r="I681" s="232"/>
      <c r="K681" s="232"/>
      <c r="N681" s="232"/>
    </row>
    <row r="682">
      <c r="F682" s="232"/>
      <c r="I682" s="232"/>
      <c r="K682" s="232"/>
      <c r="N682" s="232"/>
    </row>
    <row r="683">
      <c r="F683" s="232"/>
      <c r="I683" s="232"/>
      <c r="K683" s="232"/>
      <c r="N683" s="232"/>
    </row>
    <row r="684">
      <c r="F684" s="232"/>
      <c r="I684" s="232"/>
      <c r="K684" s="232"/>
      <c r="N684" s="232"/>
    </row>
    <row r="685">
      <c r="F685" s="232"/>
      <c r="I685" s="232"/>
      <c r="K685" s="232"/>
      <c r="N685" s="232"/>
    </row>
    <row r="686">
      <c r="F686" s="232"/>
      <c r="I686" s="232"/>
      <c r="K686" s="232"/>
      <c r="N686" s="232"/>
    </row>
    <row r="687">
      <c r="F687" s="232"/>
      <c r="I687" s="232"/>
      <c r="K687" s="232"/>
      <c r="N687" s="232"/>
    </row>
    <row r="688">
      <c r="F688" s="232"/>
      <c r="I688" s="232"/>
      <c r="K688" s="232"/>
      <c r="N688" s="232"/>
    </row>
    <row r="689">
      <c r="F689" s="232"/>
      <c r="I689" s="232"/>
      <c r="K689" s="232"/>
      <c r="N689" s="232"/>
    </row>
    <row r="690">
      <c r="F690" s="232"/>
      <c r="I690" s="232"/>
      <c r="K690" s="232"/>
      <c r="N690" s="232"/>
    </row>
    <row r="691">
      <c r="F691" s="232"/>
      <c r="I691" s="232"/>
      <c r="K691" s="232"/>
      <c r="N691" s="232"/>
    </row>
    <row r="692">
      <c r="F692" s="232"/>
      <c r="I692" s="232"/>
      <c r="K692" s="232"/>
      <c r="N692" s="232"/>
    </row>
    <row r="693">
      <c r="F693" s="232"/>
      <c r="I693" s="232"/>
      <c r="K693" s="232"/>
      <c r="N693" s="232"/>
    </row>
    <row r="694">
      <c r="F694" s="232"/>
      <c r="I694" s="232"/>
      <c r="K694" s="232"/>
      <c r="N694" s="232"/>
    </row>
    <row r="695">
      <c r="F695" s="232"/>
      <c r="I695" s="232"/>
      <c r="K695" s="232"/>
      <c r="N695" s="232"/>
    </row>
    <row r="696">
      <c r="F696" s="232"/>
      <c r="I696" s="232"/>
      <c r="K696" s="232"/>
      <c r="N696" s="232"/>
    </row>
    <row r="697">
      <c r="F697" s="232"/>
      <c r="I697" s="232"/>
      <c r="K697" s="232"/>
      <c r="N697" s="232"/>
    </row>
    <row r="698">
      <c r="F698" s="232"/>
      <c r="I698" s="232"/>
      <c r="K698" s="232"/>
      <c r="N698" s="232"/>
    </row>
    <row r="699">
      <c r="F699" s="232"/>
      <c r="I699" s="232"/>
      <c r="K699" s="232"/>
      <c r="N699" s="232"/>
    </row>
    <row r="700">
      <c r="F700" s="232"/>
      <c r="I700" s="232"/>
      <c r="K700" s="232"/>
      <c r="N700" s="232"/>
    </row>
    <row r="701">
      <c r="F701" s="232"/>
      <c r="I701" s="232"/>
      <c r="K701" s="232"/>
      <c r="N701" s="232"/>
    </row>
    <row r="702">
      <c r="F702" s="232"/>
      <c r="I702" s="232"/>
      <c r="K702" s="232"/>
      <c r="N702" s="232"/>
    </row>
    <row r="703">
      <c r="F703" s="232"/>
      <c r="I703" s="232"/>
      <c r="K703" s="232"/>
      <c r="N703" s="232"/>
    </row>
    <row r="704">
      <c r="F704" s="232"/>
      <c r="I704" s="232"/>
      <c r="K704" s="232"/>
      <c r="N704" s="232"/>
    </row>
    <row r="705">
      <c r="F705" s="232"/>
      <c r="I705" s="232"/>
      <c r="K705" s="232"/>
      <c r="N705" s="232"/>
    </row>
    <row r="706">
      <c r="F706" s="232"/>
      <c r="I706" s="232"/>
      <c r="K706" s="232"/>
      <c r="N706" s="232"/>
    </row>
    <row r="707">
      <c r="F707" s="232"/>
      <c r="I707" s="232"/>
      <c r="K707" s="232"/>
      <c r="N707" s="232"/>
    </row>
    <row r="708">
      <c r="F708" s="232"/>
      <c r="I708" s="232"/>
      <c r="K708" s="232"/>
      <c r="N708" s="232"/>
    </row>
    <row r="709">
      <c r="F709" s="232"/>
      <c r="I709" s="232"/>
      <c r="K709" s="232"/>
      <c r="N709" s="232"/>
    </row>
    <row r="710">
      <c r="F710" s="232"/>
      <c r="I710" s="232"/>
      <c r="K710" s="232"/>
      <c r="N710" s="232"/>
    </row>
    <row r="711">
      <c r="F711" s="232"/>
      <c r="I711" s="232"/>
      <c r="K711" s="232"/>
      <c r="N711" s="232"/>
    </row>
    <row r="712">
      <c r="F712" s="232"/>
      <c r="I712" s="232"/>
      <c r="K712" s="232"/>
      <c r="N712" s="232"/>
    </row>
    <row r="713">
      <c r="F713" s="232"/>
      <c r="I713" s="232"/>
      <c r="K713" s="232"/>
      <c r="N713" s="232"/>
    </row>
    <row r="714">
      <c r="F714" s="232"/>
      <c r="I714" s="232"/>
      <c r="K714" s="232"/>
      <c r="N714" s="232"/>
    </row>
    <row r="715">
      <c r="F715" s="232"/>
      <c r="I715" s="232"/>
      <c r="K715" s="232"/>
      <c r="N715" s="232"/>
    </row>
    <row r="716">
      <c r="F716" s="232"/>
      <c r="I716" s="232"/>
      <c r="K716" s="232"/>
      <c r="N716" s="232"/>
    </row>
    <row r="717">
      <c r="F717" s="232"/>
      <c r="I717" s="232"/>
      <c r="K717" s="232"/>
      <c r="N717" s="232"/>
    </row>
    <row r="718">
      <c r="F718" s="232"/>
      <c r="I718" s="232"/>
      <c r="K718" s="232"/>
      <c r="N718" s="232"/>
    </row>
    <row r="719">
      <c r="F719" s="232"/>
      <c r="I719" s="232"/>
      <c r="K719" s="232"/>
      <c r="N719" s="232"/>
    </row>
    <row r="720">
      <c r="F720" s="232"/>
      <c r="I720" s="232"/>
      <c r="K720" s="232"/>
      <c r="N720" s="232"/>
    </row>
    <row r="721">
      <c r="F721" s="232"/>
      <c r="I721" s="232"/>
      <c r="K721" s="232"/>
      <c r="N721" s="232"/>
    </row>
    <row r="722">
      <c r="F722" s="232"/>
      <c r="I722" s="232"/>
      <c r="K722" s="232"/>
      <c r="N722" s="232"/>
    </row>
    <row r="723">
      <c r="F723" s="232"/>
      <c r="I723" s="232"/>
      <c r="K723" s="232"/>
      <c r="N723" s="232"/>
    </row>
    <row r="724">
      <c r="F724" s="232"/>
      <c r="I724" s="232"/>
      <c r="K724" s="232"/>
      <c r="N724" s="232"/>
    </row>
    <row r="725">
      <c r="F725" s="232"/>
      <c r="I725" s="232"/>
      <c r="K725" s="232"/>
      <c r="N725" s="232"/>
    </row>
    <row r="726">
      <c r="F726" s="232"/>
      <c r="I726" s="232"/>
      <c r="K726" s="232"/>
      <c r="N726" s="232"/>
    </row>
    <row r="727">
      <c r="F727" s="232"/>
      <c r="I727" s="232"/>
      <c r="K727" s="232"/>
      <c r="N727" s="232"/>
    </row>
    <row r="728">
      <c r="F728" s="232"/>
      <c r="I728" s="232"/>
      <c r="K728" s="232"/>
      <c r="N728" s="232"/>
    </row>
    <row r="729">
      <c r="F729" s="232"/>
      <c r="I729" s="232"/>
      <c r="K729" s="232"/>
      <c r="N729" s="232"/>
    </row>
    <row r="730">
      <c r="F730" s="232"/>
      <c r="I730" s="232"/>
      <c r="K730" s="232"/>
      <c r="N730" s="232"/>
    </row>
    <row r="731">
      <c r="F731" s="232"/>
      <c r="I731" s="232"/>
      <c r="K731" s="232"/>
      <c r="N731" s="232"/>
    </row>
    <row r="732">
      <c r="F732" s="232"/>
      <c r="I732" s="232"/>
      <c r="K732" s="232"/>
      <c r="N732" s="232"/>
    </row>
    <row r="733">
      <c r="F733" s="232"/>
      <c r="I733" s="232"/>
      <c r="K733" s="232"/>
      <c r="N733" s="232"/>
    </row>
    <row r="734">
      <c r="F734" s="232"/>
      <c r="I734" s="232"/>
      <c r="K734" s="232"/>
      <c r="N734" s="232"/>
    </row>
    <row r="735">
      <c r="F735" s="232"/>
      <c r="I735" s="232"/>
      <c r="K735" s="232"/>
      <c r="N735" s="232"/>
    </row>
    <row r="736">
      <c r="F736" s="232"/>
      <c r="I736" s="232"/>
      <c r="K736" s="232"/>
      <c r="N736" s="232"/>
    </row>
    <row r="737">
      <c r="F737" s="232"/>
      <c r="I737" s="232"/>
      <c r="K737" s="232"/>
      <c r="N737" s="232"/>
    </row>
    <row r="738">
      <c r="F738" s="232"/>
      <c r="I738" s="232"/>
      <c r="K738" s="232"/>
      <c r="N738" s="232"/>
    </row>
    <row r="739">
      <c r="F739" s="232"/>
      <c r="I739" s="232"/>
      <c r="K739" s="232"/>
      <c r="N739" s="232"/>
    </row>
    <row r="740">
      <c r="F740" s="232"/>
      <c r="I740" s="232"/>
      <c r="K740" s="232"/>
      <c r="N740" s="232"/>
    </row>
    <row r="741">
      <c r="F741" s="232"/>
      <c r="I741" s="232"/>
      <c r="K741" s="232"/>
      <c r="N741" s="232"/>
    </row>
    <row r="742">
      <c r="F742" s="232"/>
      <c r="I742" s="232"/>
      <c r="K742" s="232"/>
      <c r="N742" s="232"/>
    </row>
    <row r="743">
      <c r="F743" s="232"/>
      <c r="I743" s="232"/>
      <c r="K743" s="232"/>
      <c r="N743" s="232"/>
    </row>
    <row r="744">
      <c r="F744" s="232"/>
      <c r="I744" s="232"/>
      <c r="K744" s="232"/>
      <c r="N744" s="232"/>
    </row>
    <row r="745">
      <c r="F745" s="232"/>
      <c r="I745" s="232"/>
      <c r="K745" s="232"/>
      <c r="N745" s="232"/>
    </row>
    <row r="746">
      <c r="F746" s="232"/>
      <c r="I746" s="232"/>
      <c r="K746" s="232"/>
      <c r="N746" s="232"/>
    </row>
    <row r="747">
      <c r="F747" s="232"/>
      <c r="I747" s="232"/>
      <c r="K747" s="232"/>
      <c r="N747" s="232"/>
    </row>
    <row r="748">
      <c r="F748" s="232"/>
      <c r="I748" s="232"/>
      <c r="K748" s="232"/>
      <c r="N748" s="232"/>
    </row>
    <row r="749">
      <c r="F749" s="232"/>
      <c r="I749" s="232"/>
      <c r="K749" s="232"/>
      <c r="N749" s="232"/>
    </row>
    <row r="750">
      <c r="F750" s="232"/>
      <c r="I750" s="232"/>
      <c r="K750" s="232"/>
      <c r="N750" s="232"/>
    </row>
    <row r="751">
      <c r="F751" s="232"/>
      <c r="I751" s="232"/>
      <c r="K751" s="232"/>
      <c r="N751" s="232"/>
    </row>
    <row r="752">
      <c r="F752" s="232"/>
      <c r="I752" s="232"/>
      <c r="K752" s="232"/>
      <c r="N752" s="232"/>
    </row>
    <row r="753">
      <c r="F753" s="232"/>
      <c r="I753" s="232"/>
      <c r="K753" s="232"/>
      <c r="N753" s="232"/>
    </row>
    <row r="754">
      <c r="F754" s="232"/>
      <c r="I754" s="232"/>
      <c r="K754" s="232"/>
      <c r="N754" s="232"/>
    </row>
    <row r="755">
      <c r="F755" s="232"/>
      <c r="I755" s="232"/>
      <c r="K755" s="232"/>
      <c r="N755" s="232"/>
    </row>
    <row r="756">
      <c r="F756" s="232"/>
      <c r="I756" s="232"/>
      <c r="K756" s="232"/>
      <c r="N756" s="232"/>
    </row>
    <row r="757">
      <c r="F757" s="232"/>
      <c r="I757" s="232"/>
      <c r="K757" s="232"/>
      <c r="N757" s="232"/>
    </row>
    <row r="758">
      <c r="F758" s="232"/>
      <c r="I758" s="232"/>
      <c r="K758" s="232"/>
      <c r="N758" s="232"/>
    </row>
    <row r="759">
      <c r="F759" s="232"/>
      <c r="I759" s="232"/>
      <c r="K759" s="232"/>
      <c r="N759" s="232"/>
    </row>
    <row r="760">
      <c r="F760" s="232"/>
      <c r="I760" s="232"/>
      <c r="K760" s="232"/>
      <c r="N760" s="232"/>
    </row>
    <row r="761">
      <c r="F761" s="232"/>
      <c r="I761" s="232"/>
      <c r="K761" s="232"/>
      <c r="N761" s="232"/>
    </row>
    <row r="762">
      <c r="F762" s="232"/>
      <c r="I762" s="232"/>
      <c r="K762" s="232"/>
      <c r="N762" s="232"/>
    </row>
    <row r="763">
      <c r="F763" s="232"/>
      <c r="I763" s="232"/>
      <c r="K763" s="232"/>
      <c r="N763" s="232"/>
    </row>
    <row r="764">
      <c r="F764" s="232"/>
      <c r="I764" s="232"/>
      <c r="K764" s="232"/>
      <c r="N764" s="232"/>
    </row>
    <row r="765">
      <c r="F765" s="232"/>
      <c r="I765" s="232"/>
      <c r="K765" s="232"/>
      <c r="N765" s="232"/>
    </row>
    <row r="766">
      <c r="F766" s="232"/>
      <c r="I766" s="232"/>
      <c r="K766" s="232"/>
      <c r="N766" s="232"/>
    </row>
    <row r="767">
      <c r="F767" s="232"/>
      <c r="I767" s="232"/>
      <c r="K767" s="232"/>
      <c r="N767" s="232"/>
    </row>
    <row r="768">
      <c r="F768" s="232"/>
      <c r="I768" s="232"/>
      <c r="K768" s="232"/>
      <c r="N768" s="232"/>
    </row>
    <row r="769">
      <c r="F769" s="232"/>
      <c r="I769" s="232"/>
      <c r="K769" s="232"/>
      <c r="N769" s="232"/>
    </row>
    <row r="770">
      <c r="F770" s="232"/>
      <c r="I770" s="232"/>
      <c r="K770" s="232"/>
      <c r="N770" s="232"/>
    </row>
    <row r="771">
      <c r="F771" s="232"/>
      <c r="I771" s="232"/>
      <c r="K771" s="232"/>
      <c r="N771" s="232"/>
    </row>
    <row r="772">
      <c r="F772" s="232"/>
      <c r="I772" s="232"/>
      <c r="K772" s="232"/>
      <c r="N772" s="232"/>
    </row>
    <row r="773">
      <c r="F773" s="232"/>
      <c r="I773" s="232"/>
      <c r="K773" s="232"/>
      <c r="N773" s="232"/>
    </row>
    <row r="774">
      <c r="F774" s="232"/>
      <c r="I774" s="232"/>
      <c r="K774" s="232"/>
      <c r="N774" s="232"/>
    </row>
    <row r="775">
      <c r="F775" s="232"/>
      <c r="I775" s="232"/>
      <c r="K775" s="232"/>
      <c r="N775" s="232"/>
    </row>
    <row r="776">
      <c r="F776" s="232"/>
      <c r="I776" s="232"/>
      <c r="K776" s="232"/>
      <c r="N776" s="232"/>
    </row>
    <row r="777">
      <c r="F777" s="232"/>
      <c r="I777" s="232"/>
      <c r="K777" s="232"/>
      <c r="N777" s="232"/>
    </row>
    <row r="778">
      <c r="F778" s="232"/>
      <c r="I778" s="232"/>
      <c r="K778" s="232"/>
      <c r="N778" s="232"/>
    </row>
    <row r="779">
      <c r="F779" s="232"/>
      <c r="I779" s="232"/>
      <c r="K779" s="232"/>
      <c r="N779" s="232"/>
    </row>
    <row r="780">
      <c r="F780" s="232"/>
      <c r="I780" s="232"/>
      <c r="K780" s="232"/>
      <c r="N780" s="232"/>
    </row>
    <row r="781">
      <c r="F781" s="232"/>
      <c r="I781" s="232"/>
      <c r="K781" s="232"/>
      <c r="N781" s="232"/>
    </row>
    <row r="782">
      <c r="F782" s="232"/>
      <c r="I782" s="232"/>
      <c r="K782" s="232"/>
      <c r="N782" s="232"/>
    </row>
    <row r="783">
      <c r="F783" s="232"/>
      <c r="I783" s="232"/>
      <c r="K783" s="232"/>
      <c r="N783" s="232"/>
    </row>
    <row r="784">
      <c r="F784" s="232"/>
      <c r="I784" s="232"/>
      <c r="K784" s="232"/>
      <c r="N784" s="232"/>
    </row>
    <row r="785">
      <c r="F785" s="232"/>
      <c r="I785" s="232"/>
      <c r="K785" s="232"/>
      <c r="N785" s="232"/>
    </row>
    <row r="786">
      <c r="F786" s="232"/>
      <c r="I786" s="232"/>
      <c r="K786" s="232"/>
      <c r="N786" s="232"/>
    </row>
    <row r="787">
      <c r="F787" s="232"/>
      <c r="I787" s="232"/>
      <c r="K787" s="232"/>
      <c r="N787" s="232"/>
    </row>
    <row r="788">
      <c r="F788" s="232"/>
      <c r="I788" s="232"/>
      <c r="K788" s="232"/>
      <c r="N788" s="232"/>
    </row>
    <row r="789">
      <c r="F789" s="232"/>
      <c r="I789" s="232"/>
      <c r="K789" s="232"/>
      <c r="N789" s="232"/>
    </row>
    <row r="790">
      <c r="F790" s="232"/>
      <c r="I790" s="232"/>
      <c r="K790" s="232"/>
      <c r="N790" s="232"/>
    </row>
    <row r="791">
      <c r="F791" s="232"/>
      <c r="I791" s="232"/>
      <c r="K791" s="232"/>
      <c r="N791" s="232"/>
    </row>
    <row r="792">
      <c r="F792" s="232"/>
      <c r="I792" s="232"/>
      <c r="K792" s="232"/>
      <c r="N792" s="232"/>
    </row>
    <row r="793">
      <c r="F793" s="232"/>
      <c r="I793" s="232"/>
      <c r="K793" s="232"/>
      <c r="N793" s="232"/>
    </row>
    <row r="794">
      <c r="F794" s="232"/>
      <c r="I794" s="232"/>
      <c r="K794" s="232"/>
      <c r="N794" s="232"/>
    </row>
    <row r="795">
      <c r="F795" s="232"/>
      <c r="I795" s="232"/>
      <c r="K795" s="232"/>
      <c r="N795" s="232"/>
    </row>
    <row r="796">
      <c r="F796" s="232"/>
      <c r="I796" s="232"/>
      <c r="K796" s="232"/>
      <c r="N796" s="232"/>
    </row>
    <row r="797">
      <c r="F797" s="232"/>
      <c r="I797" s="232"/>
      <c r="K797" s="232"/>
      <c r="N797" s="232"/>
    </row>
    <row r="798">
      <c r="F798" s="232"/>
      <c r="I798" s="232"/>
      <c r="K798" s="232"/>
      <c r="N798" s="232"/>
    </row>
    <row r="799">
      <c r="F799" s="232"/>
      <c r="I799" s="232"/>
      <c r="K799" s="232"/>
      <c r="N799" s="232"/>
    </row>
    <row r="800">
      <c r="F800" s="232"/>
      <c r="I800" s="232"/>
      <c r="K800" s="232"/>
      <c r="N800" s="232"/>
    </row>
    <row r="801">
      <c r="F801" s="232"/>
      <c r="I801" s="232"/>
      <c r="K801" s="232"/>
      <c r="N801" s="232"/>
    </row>
    <row r="802">
      <c r="F802" s="232"/>
      <c r="I802" s="232"/>
      <c r="K802" s="232"/>
      <c r="N802" s="232"/>
    </row>
    <row r="803">
      <c r="F803" s="232"/>
      <c r="I803" s="232"/>
      <c r="K803" s="232"/>
      <c r="N803" s="232"/>
    </row>
    <row r="804">
      <c r="F804" s="232"/>
      <c r="I804" s="232"/>
      <c r="K804" s="232"/>
      <c r="N804" s="232"/>
    </row>
    <row r="805">
      <c r="F805" s="232"/>
      <c r="I805" s="232"/>
      <c r="K805" s="232"/>
      <c r="N805" s="232"/>
    </row>
    <row r="806">
      <c r="F806" s="232"/>
      <c r="I806" s="232"/>
      <c r="K806" s="232"/>
      <c r="N806" s="232"/>
    </row>
    <row r="807">
      <c r="F807" s="232"/>
      <c r="I807" s="232"/>
      <c r="K807" s="232"/>
      <c r="N807" s="232"/>
    </row>
    <row r="808">
      <c r="F808" s="232"/>
      <c r="I808" s="232"/>
      <c r="K808" s="232"/>
      <c r="N808" s="232"/>
    </row>
    <row r="809">
      <c r="F809" s="232"/>
      <c r="I809" s="232"/>
      <c r="K809" s="232"/>
      <c r="N809" s="232"/>
    </row>
    <row r="810">
      <c r="F810" s="232"/>
      <c r="I810" s="232"/>
      <c r="K810" s="232"/>
      <c r="N810" s="232"/>
    </row>
    <row r="811">
      <c r="F811" s="232"/>
      <c r="I811" s="232"/>
      <c r="K811" s="232"/>
      <c r="N811" s="232"/>
    </row>
    <row r="812">
      <c r="F812" s="232"/>
      <c r="I812" s="232"/>
      <c r="K812" s="232"/>
      <c r="N812" s="232"/>
    </row>
    <row r="813">
      <c r="F813" s="232"/>
      <c r="I813" s="232"/>
      <c r="K813" s="232"/>
      <c r="N813" s="232"/>
    </row>
    <row r="814">
      <c r="F814" s="232"/>
      <c r="I814" s="232"/>
      <c r="K814" s="232"/>
      <c r="N814" s="232"/>
    </row>
    <row r="815">
      <c r="F815" s="232"/>
      <c r="I815" s="232"/>
      <c r="K815" s="232"/>
      <c r="N815" s="232"/>
    </row>
    <row r="816">
      <c r="F816" s="232"/>
      <c r="I816" s="232"/>
      <c r="K816" s="232"/>
      <c r="N816" s="232"/>
    </row>
    <row r="817">
      <c r="F817" s="232"/>
      <c r="I817" s="232"/>
      <c r="K817" s="232"/>
      <c r="N817" s="232"/>
    </row>
    <row r="818">
      <c r="F818" s="232"/>
      <c r="I818" s="232"/>
      <c r="K818" s="232"/>
      <c r="N818" s="232"/>
    </row>
    <row r="819">
      <c r="F819" s="232"/>
      <c r="I819" s="232"/>
      <c r="K819" s="232"/>
      <c r="N819" s="232"/>
    </row>
    <row r="820">
      <c r="F820" s="232"/>
      <c r="I820" s="232"/>
      <c r="K820" s="232"/>
      <c r="N820" s="232"/>
    </row>
    <row r="821">
      <c r="F821" s="232"/>
      <c r="I821" s="232"/>
      <c r="K821" s="232"/>
      <c r="N821" s="232"/>
    </row>
    <row r="822">
      <c r="F822" s="232"/>
      <c r="I822" s="232"/>
      <c r="K822" s="232"/>
      <c r="N822" s="232"/>
    </row>
    <row r="823">
      <c r="F823" s="232"/>
      <c r="I823" s="232"/>
      <c r="K823" s="232"/>
      <c r="N823" s="232"/>
    </row>
    <row r="824">
      <c r="F824" s="232"/>
      <c r="I824" s="232"/>
      <c r="K824" s="232"/>
      <c r="N824" s="232"/>
    </row>
    <row r="825">
      <c r="F825" s="232"/>
      <c r="I825" s="232"/>
      <c r="K825" s="232"/>
      <c r="N825" s="232"/>
    </row>
    <row r="826">
      <c r="F826" s="232"/>
      <c r="I826" s="232"/>
      <c r="K826" s="232"/>
      <c r="N826" s="232"/>
    </row>
    <row r="827">
      <c r="F827" s="232"/>
      <c r="I827" s="232"/>
      <c r="K827" s="232"/>
      <c r="N827" s="232"/>
    </row>
    <row r="828">
      <c r="F828" s="232"/>
      <c r="I828" s="232"/>
      <c r="K828" s="232"/>
      <c r="N828" s="232"/>
    </row>
    <row r="829">
      <c r="F829" s="232"/>
      <c r="I829" s="232"/>
      <c r="K829" s="232"/>
      <c r="N829" s="232"/>
    </row>
    <row r="830">
      <c r="F830" s="232"/>
      <c r="I830" s="232"/>
      <c r="K830" s="232"/>
      <c r="N830" s="232"/>
    </row>
    <row r="831">
      <c r="F831" s="232"/>
      <c r="I831" s="232"/>
      <c r="K831" s="232"/>
      <c r="N831" s="232"/>
    </row>
    <row r="832">
      <c r="F832" s="232"/>
      <c r="I832" s="232"/>
      <c r="K832" s="232"/>
      <c r="N832" s="232"/>
    </row>
    <row r="833">
      <c r="F833" s="232"/>
      <c r="I833" s="232"/>
      <c r="K833" s="232"/>
      <c r="N833" s="232"/>
    </row>
    <row r="834">
      <c r="F834" s="232"/>
      <c r="I834" s="232"/>
      <c r="K834" s="232"/>
      <c r="N834" s="232"/>
    </row>
    <row r="835">
      <c r="F835" s="232"/>
      <c r="I835" s="232"/>
      <c r="K835" s="232"/>
      <c r="N835" s="232"/>
    </row>
    <row r="836">
      <c r="F836" s="232"/>
      <c r="I836" s="232"/>
      <c r="K836" s="232"/>
      <c r="N836" s="232"/>
    </row>
    <row r="837">
      <c r="F837" s="232"/>
      <c r="I837" s="232"/>
      <c r="K837" s="232"/>
      <c r="N837" s="232"/>
    </row>
    <row r="838">
      <c r="F838" s="232"/>
      <c r="I838" s="232"/>
      <c r="K838" s="232"/>
      <c r="N838" s="232"/>
    </row>
    <row r="839">
      <c r="F839" s="232"/>
      <c r="I839" s="232"/>
      <c r="K839" s="232"/>
      <c r="N839" s="232"/>
    </row>
    <row r="840">
      <c r="F840" s="232"/>
      <c r="I840" s="232"/>
      <c r="K840" s="232"/>
      <c r="N840" s="232"/>
    </row>
    <row r="841">
      <c r="F841" s="232"/>
      <c r="I841" s="232"/>
      <c r="K841" s="232"/>
      <c r="N841" s="232"/>
    </row>
    <row r="842">
      <c r="F842" s="232"/>
      <c r="I842" s="232"/>
      <c r="K842" s="232"/>
      <c r="N842" s="232"/>
    </row>
    <row r="843">
      <c r="F843" s="232"/>
      <c r="I843" s="232"/>
      <c r="K843" s="232"/>
      <c r="N843" s="232"/>
    </row>
    <row r="844">
      <c r="F844" s="232"/>
      <c r="I844" s="232"/>
      <c r="K844" s="232"/>
      <c r="N844" s="232"/>
    </row>
    <row r="845">
      <c r="F845" s="232"/>
      <c r="I845" s="232"/>
      <c r="K845" s="232"/>
      <c r="N845" s="232"/>
    </row>
    <row r="846">
      <c r="F846" s="232"/>
      <c r="I846" s="232"/>
      <c r="K846" s="232"/>
      <c r="N846" s="232"/>
    </row>
    <row r="847">
      <c r="F847" s="232"/>
      <c r="I847" s="232"/>
      <c r="K847" s="232"/>
      <c r="N847" s="232"/>
    </row>
    <row r="848">
      <c r="F848" s="232"/>
      <c r="I848" s="232"/>
      <c r="K848" s="232"/>
      <c r="N848" s="232"/>
    </row>
    <row r="849">
      <c r="F849" s="232"/>
      <c r="I849" s="232"/>
      <c r="K849" s="232"/>
      <c r="N849" s="232"/>
    </row>
    <row r="850">
      <c r="F850" s="232"/>
      <c r="I850" s="232"/>
      <c r="K850" s="232"/>
      <c r="N850" s="232"/>
    </row>
    <row r="851">
      <c r="F851" s="232"/>
      <c r="I851" s="232"/>
      <c r="K851" s="232"/>
      <c r="N851" s="232"/>
    </row>
    <row r="852">
      <c r="F852" s="232"/>
      <c r="I852" s="232"/>
      <c r="K852" s="232"/>
      <c r="N852" s="232"/>
    </row>
    <row r="853">
      <c r="F853" s="232"/>
      <c r="I853" s="232"/>
      <c r="K853" s="232"/>
      <c r="N853" s="232"/>
    </row>
    <row r="854">
      <c r="F854" s="232"/>
      <c r="I854" s="232"/>
      <c r="K854" s="232"/>
      <c r="N854" s="232"/>
    </row>
    <row r="855">
      <c r="F855" s="232"/>
      <c r="I855" s="232"/>
      <c r="K855" s="232"/>
      <c r="N855" s="232"/>
    </row>
    <row r="856">
      <c r="F856" s="232"/>
      <c r="I856" s="232"/>
      <c r="K856" s="232"/>
      <c r="N856" s="232"/>
    </row>
    <row r="857">
      <c r="F857" s="232"/>
      <c r="I857" s="232"/>
      <c r="K857" s="232"/>
      <c r="N857" s="232"/>
    </row>
    <row r="858">
      <c r="F858" s="232"/>
      <c r="I858" s="232"/>
      <c r="K858" s="232"/>
      <c r="N858" s="232"/>
    </row>
    <row r="859">
      <c r="F859" s="232"/>
      <c r="I859" s="232"/>
      <c r="K859" s="232"/>
      <c r="N859" s="232"/>
    </row>
    <row r="860">
      <c r="F860" s="232"/>
      <c r="I860" s="232"/>
      <c r="K860" s="232"/>
      <c r="N860" s="232"/>
    </row>
    <row r="861">
      <c r="F861" s="232"/>
      <c r="I861" s="232"/>
      <c r="K861" s="232"/>
      <c r="N861" s="232"/>
    </row>
    <row r="862">
      <c r="F862" s="232"/>
      <c r="I862" s="232"/>
      <c r="K862" s="232"/>
      <c r="N862" s="232"/>
    </row>
    <row r="863">
      <c r="F863" s="232"/>
      <c r="I863" s="232"/>
      <c r="K863" s="232"/>
      <c r="N863" s="232"/>
    </row>
    <row r="864">
      <c r="F864" s="232"/>
      <c r="I864" s="232"/>
      <c r="K864" s="232"/>
      <c r="N864" s="232"/>
    </row>
    <row r="865">
      <c r="F865" s="232"/>
      <c r="I865" s="232"/>
      <c r="K865" s="232"/>
      <c r="N865" s="232"/>
    </row>
    <row r="866">
      <c r="F866" s="232"/>
      <c r="I866" s="232"/>
      <c r="K866" s="232"/>
      <c r="N866" s="232"/>
    </row>
    <row r="867">
      <c r="F867" s="232"/>
      <c r="I867" s="232"/>
      <c r="K867" s="232"/>
      <c r="N867" s="232"/>
    </row>
    <row r="868">
      <c r="F868" s="232"/>
      <c r="I868" s="232"/>
      <c r="K868" s="232"/>
      <c r="N868" s="232"/>
    </row>
    <row r="869">
      <c r="F869" s="232"/>
      <c r="I869" s="232"/>
      <c r="K869" s="232"/>
      <c r="N869" s="232"/>
    </row>
    <row r="870">
      <c r="F870" s="232"/>
      <c r="I870" s="232"/>
      <c r="K870" s="232"/>
      <c r="N870" s="232"/>
    </row>
    <row r="871">
      <c r="F871" s="232"/>
      <c r="I871" s="232"/>
      <c r="K871" s="232"/>
      <c r="N871" s="232"/>
    </row>
    <row r="872">
      <c r="F872" s="232"/>
      <c r="I872" s="232"/>
      <c r="K872" s="232"/>
      <c r="N872" s="232"/>
    </row>
    <row r="873">
      <c r="F873" s="232"/>
      <c r="I873" s="232"/>
      <c r="K873" s="232"/>
      <c r="N873" s="232"/>
    </row>
    <row r="874">
      <c r="F874" s="232"/>
      <c r="I874" s="232"/>
      <c r="K874" s="232"/>
      <c r="N874" s="232"/>
    </row>
    <row r="875">
      <c r="F875" s="232"/>
      <c r="I875" s="232"/>
      <c r="K875" s="232"/>
      <c r="N875" s="232"/>
    </row>
    <row r="876">
      <c r="F876" s="232"/>
      <c r="I876" s="232"/>
      <c r="K876" s="232"/>
      <c r="N876" s="232"/>
    </row>
    <row r="877">
      <c r="F877" s="232"/>
      <c r="I877" s="232"/>
      <c r="K877" s="232"/>
      <c r="N877" s="232"/>
    </row>
    <row r="878">
      <c r="F878" s="232"/>
      <c r="I878" s="232"/>
      <c r="K878" s="232"/>
      <c r="N878" s="232"/>
    </row>
    <row r="879">
      <c r="F879" s="232"/>
      <c r="I879" s="232"/>
      <c r="K879" s="232"/>
      <c r="N879" s="232"/>
    </row>
    <row r="880">
      <c r="F880" s="232"/>
      <c r="I880" s="232"/>
      <c r="K880" s="232"/>
      <c r="N880" s="232"/>
    </row>
    <row r="881">
      <c r="F881" s="232"/>
      <c r="I881" s="232"/>
      <c r="K881" s="232"/>
      <c r="N881" s="232"/>
    </row>
    <row r="882">
      <c r="F882" s="232"/>
      <c r="I882" s="232"/>
      <c r="K882" s="232"/>
      <c r="N882" s="232"/>
    </row>
    <row r="883">
      <c r="F883" s="232"/>
      <c r="I883" s="232"/>
      <c r="K883" s="232"/>
      <c r="N883" s="232"/>
    </row>
    <row r="884">
      <c r="F884" s="232"/>
      <c r="I884" s="232"/>
      <c r="K884" s="232"/>
      <c r="N884" s="232"/>
    </row>
    <row r="885">
      <c r="F885" s="232"/>
      <c r="I885" s="232"/>
      <c r="K885" s="232"/>
      <c r="N885" s="232"/>
    </row>
    <row r="886">
      <c r="F886" s="232"/>
      <c r="I886" s="232"/>
      <c r="K886" s="232"/>
      <c r="N886" s="232"/>
    </row>
    <row r="887">
      <c r="F887" s="232"/>
      <c r="I887" s="232"/>
      <c r="K887" s="232"/>
      <c r="N887" s="232"/>
    </row>
    <row r="888">
      <c r="F888" s="232"/>
      <c r="I888" s="232"/>
      <c r="K888" s="232"/>
      <c r="N888" s="232"/>
    </row>
    <row r="889">
      <c r="F889" s="232"/>
      <c r="I889" s="232"/>
      <c r="K889" s="232"/>
      <c r="N889" s="232"/>
    </row>
    <row r="890">
      <c r="F890" s="232"/>
      <c r="I890" s="232"/>
      <c r="K890" s="232"/>
      <c r="N890" s="232"/>
    </row>
    <row r="891">
      <c r="F891" s="232"/>
      <c r="I891" s="232"/>
      <c r="K891" s="232"/>
      <c r="N891" s="232"/>
    </row>
    <row r="892">
      <c r="F892" s="232"/>
      <c r="I892" s="232"/>
      <c r="K892" s="232"/>
      <c r="N892" s="232"/>
    </row>
    <row r="893">
      <c r="F893" s="232"/>
      <c r="I893" s="232"/>
      <c r="K893" s="232"/>
      <c r="N893" s="232"/>
    </row>
    <row r="894">
      <c r="F894" s="232"/>
      <c r="I894" s="232"/>
      <c r="K894" s="232"/>
      <c r="N894" s="232"/>
    </row>
    <row r="895">
      <c r="F895" s="232"/>
      <c r="I895" s="232"/>
      <c r="K895" s="232"/>
      <c r="N895" s="232"/>
    </row>
    <row r="896">
      <c r="F896" s="232"/>
      <c r="I896" s="232"/>
      <c r="K896" s="232"/>
      <c r="N896" s="232"/>
    </row>
    <row r="897">
      <c r="F897" s="232"/>
      <c r="I897" s="232"/>
      <c r="K897" s="232"/>
      <c r="N897" s="232"/>
    </row>
    <row r="898">
      <c r="F898" s="232"/>
      <c r="I898" s="232"/>
      <c r="K898" s="232"/>
      <c r="N898" s="232"/>
    </row>
    <row r="899">
      <c r="F899" s="232"/>
      <c r="I899" s="232"/>
      <c r="K899" s="232"/>
      <c r="N899" s="232"/>
    </row>
    <row r="900">
      <c r="F900" s="232"/>
      <c r="I900" s="232"/>
      <c r="K900" s="232"/>
      <c r="N900" s="232"/>
    </row>
    <row r="901">
      <c r="F901" s="232"/>
      <c r="I901" s="232"/>
      <c r="K901" s="232"/>
      <c r="N901" s="232"/>
    </row>
    <row r="902">
      <c r="F902" s="232"/>
      <c r="I902" s="232"/>
      <c r="K902" s="232"/>
      <c r="N902" s="232"/>
    </row>
    <row r="903">
      <c r="F903" s="232"/>
      <c r="I903" s="232"/>
      <c r="K903" s="232"/>
      <c r="N903" s="232"/>
    </row>
    <row r="904">
      <c r="F904" s="232"/>
      <c r="I904" s="232"/>
      <c r="K904" s="232"/>
      <c r="N904" s="232"/>
    </row>
    <row r="905">
      <c r="F905" s="232"/>
      <c r="I905" s="232"/>
      <c r="K905" s="232"/>
      <c r="N905" s="232"/>
    </row>
    <row r="906">
      <c r="F906" s="232"/>
      <c r="I906" s="232"/>
      <c r="K906" s="232"/>
      <c r="N906" s="232"/>
    </row>
    <row r="907">
      <c r="F907" s="232"/>
      <c r="I907" s="232"/>
      <c r="K907" s="232"/>
      <c r="N907" s="232"/>
    </row>
    <row r="908">
      <c r="F908" s="232"/>
      <c r="I908" s="232"/>
      <c r="K908" s="232"/>
      <c r="N908" s="232"/>
    </row>
    <row r="909">
      <c r="F909" s="232"/>
      <c r="I909" s="232"/>
      <c r="K909" s="232"/>
      <c r="N909" s="232"/>
    </row>
    <row r="910">
      <c r="F910" s="232"/>
      <c r="I910" s="232"/>
      <c r="K910" s="232"/>
      <c r="N910" s="232"/>
    </row>
    <row r="911">
      <c r="F911" s="232"/>
      <c r="I911" s="232"/>
      <c r="K911" s="232"/>
      <c r="N911" s="232"/>
    </row>
    <row r="912">
      <c r="F912" s="232"/>
      <c r="I912" s="232"/>
      <c r="K912" s="232"/>
      <c r="N912" s="232"/>
    </row>
    <row r="913">
      <c r="F913" s="232"/>
      <c r="I913" s="232"/>
      <c r="K913" s="232"/>
      <c r="N913" s="232"/>
    </row>
    <row r="914">
      <c r="F914" s="232"/>
      <c r="I914" s="232"/>
      <c r="K914" s="232"/>
      <c r="N914" s="232"/>
    </row>
    <row r="915">
      <c r="F915" s="232"/>
      <c r="I915" s="232"/>
      <c r="K915" s="232"/>
      <c r="N915" s="232"/>
    </row>
    <row r="916">
      <c r="F916" s="232"/>
      <c r="I916" s="232"/>
      <c r="K916" s="232"/>
      <c r="N916" s="232"/>
    </row>
    <row r="917">
      <c r="F917" s="232"/>
      <c r="I917" s="232"/>
      <c r="K917" s="232"/>
      <c r="N917" s="232"/>
    </row>
    <row r="918">
      <c r="F918" s="232"/>
      <c r="I918" s="232"/>
      <c r="K918" s="232"/>
      <c r="N918" s="232"/>
    </row>
    <row r="919">
      <c r="F919" s="232"/>
      <c r="I919" s="232"/>
      <c r="K919" s="232"/>
      <c r="N919" s="232"/>
    </row>
    <row r="920">
      <c r="F920" s="232"/>
      <c r="I920" s="232"/>
      <c r="K920" s="232"/>
      <c r="N920" s="232"/>
    </row>
    <row r="921">
      <c r="F921" s="232"/>
      <c r="I921" s="232"/>
      <c r="K921" s="232"/>
      <c r="N921" s="232"/>
    </row>
    <row r="922">
      <c r="F922" s="232"/>
      <c r="I922" s="232"/>
      <c r="K922" s="232"/>
      <c r="N922" s="232"/>
    </row>
    <row r="923">
      <c r="F923" s="232"/>
      <c r="I923" s="232"/>
      <c r="K923" s="232"/>
      <c r="N923" s="232"/>
    </row>
    <row r="924">
      <c r="F924" s="232"/>
      <c r="I924" s="232"/>
      <c r="K924" s="232"/>
      <c r="N924" s="232"/>
    </row>
    <row r="925">
      <c r="F925" s="232"/>
      <c r="I925" s="232"/>
      <c r="K925" s="232"/>
      <c r="N925" s="232"/>
    </row>
    <row r="926">
      <c r="F926" s="232"/>
      <c r="I926" s="232"/>
      <c r="K926" s="232"/>
      <c r="N926" s="232"/>
    </row>
    <row r="927">
      <c r="F927" s="232"/>
      <c r="I927" s="232"/>
      <c r="K927" s="232"/>
      <c r="N927" s="232"/>
    </row>
    <row r="928">
      <c r="F928" s="232"/>
      <c r="I928" s="232"/>
      <c r="K928" s="232"/>
      <c r="N928" s="232"/>
    </row>
    <row r="929">
      <c r="F929" s="232"/>
      <c r="I929" s="232"/>
      <c r="K929" s="232"/>
      <c r="N929" s="232"/>
    </row>
    <row r="930">
      <c r="F930" s="232"/>
      <c r="I930" s="232"/>
      <c r="K930" s="232"/>
      <c r="N930" s="232"/>
    </row>
    <row r="931">
      <c r="F931" s="232"/>
      <c r="I931" s="232"/>
      <c r="K931" s="232"/>
      <c r="N931" s="232"/>
    </row>
    <row r="932">
      <c r="F932" s="232"/>
      <c r="I932" s="232"/>
      <c r="K932" s="232"/>
      <c r="N932" s="232"/>
    </row>
    <row r="933">
      <c r="F933" s="232"/>
      <c r="I933" s="232"/>
      <c r="K933" s="232"/>
      <c r="N933" s="232"/>
    </row>
    <row r="934">
      <c r="F934" s="232"/>
      <c r="I934" s="232"/>
      <c r="K934" s="232"/>
      <c r="N934" s="232"/>
    </row>
    <row r="935">
      <c r="F935" s="232"/>
      <c r="I935" s="232"/>
      <c r="K935" s="232"/>
      <c r="N935" s="232"/>
    </row>
    <row r="936">
      <c r="F936" s="232"/>
      <c r="I936" s="232"/>
      <c r="K936" s="232"/>
      <c r="N936" s="232"/>
    </row>
    <row r="937">
      <c r="F937" s="232"/>
      <c r="I937" s="232"/>
      <c r="K937" s="232"/>
      <c r="N937" s="232"/>
    </row>
    <row r="938">
      <c r="F938" s="232"/>
      <c r="I938" s="232"/>
      <c r="K938" s="232"/>
      <c r="N938" s="232"/>
    </row>
    <row r="939">
      <c r="F939" s="232"/>
      <c r="I939" s="232"/>
      <c r="K939" s="232"/>
      <c r="N939" s="232"/>
    </row>
    <row r="940">
      <c r="F940" s="232"/>
      <c r="I940" s="232"/>
      <c r="K940" s="232"/>
      <c r="N940" s="232"/>
    </row>
    <row r="941">
      <c r="F941" s="232"/>
      <c r="I941" s="232"/>
      <c r="K941" s="232"/>
      <c r="N941" s="232"/>
    </row>
    <row r="942">
      <c r="F942" s="232"/>
      <c r="I942" s="232"/>
      <c r="K942" s="232"/>
      <c r="N942" s="232"/>
    </row>
    <row r="943">
      <c r="F943" s="232"/>
      <c r="I943" s="232"/>
      <c r="K943" s="232"/>
      <c r="N943" s="232"/>
    </row>
    <row r="944">
      <c r="F944" s="232"/>
      <c r="I944" s="232"/>
      <c r="K944" s="232"/>
      <c r="N944" s="232"/>
    </row>
    <row r="945">
      <c r="F945" s="232"/>
      <c r="I945" s="232"/>
      <c r="K945" s="232"/>
      <c r="N945" s="232"/>
    </row>
    <row r="946">
      <c r="F946" s="232"/>
      <c r="I946" s="232"/>
      <c r="K946" s="232"/>
      <c r="N946" s="232"/>
    </row>
    <row r="947">
      <c r="F947" s="232"/>
      <c r="I947" s="232"/>
      <c r="K947" s="232"/>
      <c r="N947" s="232"/>
    </row>
    <row r="948">
      <c r="F948" s="232"/>
      <c r="I948" s="232"/>
      <c r="K948" s="232"/>
      <c r="N948" s="232"/>
    </row>
    <row r="949">
      <c r="F949" s="232"/>
      <c r="I949" s="232"/>
      <c r="K949" s="232"/>
      <c r="N949" s="232"/>
    </row>
    <row r="950">
      <c r="F950" s="232"/>
      <c r="I950" s="232"/>
      <c r="K950" s="232"/>
      <c r="N950" s="232"/>
    </row>
    <row r="951">
      <c r="F951" s="232"/>
      <c r="I951" s="232"/>
      <c r="K951" s="232"/>
      <c r="N951" s="232"/>
    </row>
    <row r="952">
      <c r="F952" s="232"/>
      <c r="I952" s="232"/>
      <c r="K952" s="232"/>
      <c r="N952" s="232"/>
    </row>
    <row r="953">
      <c r="F953" s="232"/>
      <c r="I953" s="232"/>
      <c r="K953" s="232"/>
      <c r="N953" s="232"/>
    </row>
    <row r="954">
      <c r="F954" s="232"/>
      <c r="I954" s="232"/>
      <c r="K954" s="232"/>
      <c r="N954" s="232"/>
    </row>
    <row r="955">
      <c r="F955" s="232"/>
      <c r="I955" s="232"/>
      <c r="K955" s="232"/>
      <c r="N955" s="232"/>
    </row>
    <row r="956">
      <c r="F956" s="232"/>
      <c r="I956" s="232"/>
      <c r="K956" s="232"/>
      <c r="N956" s="232"/>
    </row>
    <row r="957">
      <c r="F957" s="232"/>
      <c r="I957" s="232"/>
      <c r="K957" s="232"/>
      <c r="N957" s="232"/>
    </row>
    <row r="958">
      <c r="F958" s="232"/>
      <c r="I958" s="232"/>
      <c r="K958" s="232"/>
      <c r="N958" s="232"/>
    </row>
    <row r="959">
      <c r="F959" s="232"/>
      <c r="I959" s="232"/>
      <c r="K959" s="232"/>
      <c r="N959" s="232"/>
    </row>
    <row r="960">
      <c r="F960" s="232"/>
      <c r="I960" s="232"/>
      <c r="K960" s="232"/>
      <c r="N960" s="232"/>
    </row>
    <row r="961">
      <c r="F961" s="232"/>
      <c r="I961" s="232"/>
      <c r="K961" s="232"/>
      <c r="N961" s="232"/>
    </row>
    <row r="962">
      <c r="F962" s="232"/>
      <c r="I962" s="232"/>
      <c r="K962" s="232"/>
      <c r="N962" s="232"/>
    </row>
    <row r="963">
      <c r="F963" s="232"/>
      <c r="I963" s="232"/>
      <c r="K963" s="232"/>
      <c r="N963" s="232"/>
    </row>
    <row r="964">
      <c r="F964" s="232"/>
      <c r="I964" s="232"/>
      <c r="K964" s="232"/>
      <c r="N964" s="232"/>
    </row>
    <row r="965">
      <c r="F965" s="232"/>
      <c r="I965" s="232"/>
      <c r="K965" s="232"/>
      <c r="N965" s="232"/>
    </row>
    <row r="966">
      <c r="F966" s="232"/>
      <c r="I966" s="232"/>
      <c r="K966" s="232"/>
      <c r="N966" s="232"/>
    </row>
    <row r="967">
      <c r="F967" s="232"/>
      <c r="I967" s="232"/>
      <c r="K967" s="232"/>
      <c r="N967" s="232"/>
    </row>
    <row r="968">
      <c r="F968" s="232"/>
      <c r="I968" s="232"/>
      <c r="K968" s="232"/>
      <c r="N968" s="232"/>
    </row>
    <row r="969">
      <c r="F969" s="232"/>
      <c r="I969" s="232"/>
      <c r="K969" s="232"/>
      <c r="N969" s="232"/>
    </row>
    <row r="970">
      <c r="F970" s="232"/>
      <c r="I970" s="232"/>
      <c r="K970" s="232"/>
      <c r="N970" s="232"/>
    </row>
    <row r="971">
      <c r="F971" s="232"/>
      <c r="I971" s="232"/>
      <c r="K971" s="232"/>
      <c r="N971" s="232"/>
    </row>
    <row r="972">
      <c r="F972" s="232"/>
      <c r="I972" s="232"/>
      <c r="K972" s="232"/>
      <c r="N972" s="232"/>
    </row>
    <row r="973">
      <c r="F973" s="232"/>
      <c r="I973" s="232"/>
      <c r="K973" s="232"/>
      <c r="N973" s="232"/>
    </row>
    <row r="974">
      <c r="F974" s="232"/>
      <c r="I974" s="232"/>
      <c r="K974" s="232"/>
      <c r="N974" s="232"/>
    </row>
    <row r="975">
      <c r="F975" s="232"/>
      <c r="I975" s="232"/>
      <c r="K975" s="232"/>
      <c r="N975" s="232"/>
    </row>
    <row r="976">
      <c r="F976" s="232"/>
      <c r="I976" s="232"/>
      <c r="K976" s="232"/>
      <c r="N976" s="232"/>
    </row>
    <row r="977">
      <c r="F977" s="232"/>
      <c r="I977" s="232"/>
      <c r="K977" s="232"/>
      <c r="N977" s="232"/>
    </row>
    <row r="978">
      <c r="F978" s="232"/>
      <c r="I978" s="232"/>
      <c r="K978" s="232"/>
      <c r="N978" s="232"/>
    </row>
    <row r="979">
      <c r="F979" s="232"/>
      <c r="I979" s="232"/>
      <c r="K979" s="232"/>
      <c r="N979" s="232"/>
    </row>
    <row r="980">
      <c r="F980" s="232"/>
      <c r="I980" s="232"/>
      <c r="K980" s="232"/>
      <c r="N980" s="232"/>
    </row>
    <row r="981">
      <c r="F981" s="232"/>
      <c r="I981" s="232"/>
      <c r="K981" s="232"/>
      <c r="N981" s="232"/>
    </row>
    <row r="982">
      <c r="F982" s="232"/>
      <c r="I982" s="232"/>
      <c r="K982" s="232"/>
      <c r="N982" s="232"/>
    </row>
    <row r="983">
      <c r="F983" s="232"/>
      <c r="I983" s="232"/>
      <c r="K983" s="232"/>
      <c r="N983" s="232"/>
    </row>
    <row r="984">
      <c r="F984" s="232"/>
      <c r="I984" s="232"/>
      <c r="K984" s="232"/>
      <c r="N984" s="232"/>
    </row>
    <row r="985">
      <c r="F985" s="232"/>
      <c r="I985" s="232"/>
      <c r="K985" s="232"/>
      <c r="N985" s="232"/>
    </row>
    <row r="986">
      <c r="F986" s="232"/>
      <c r="I986" s="232"/>
      <c r="K986" s="232"/>
      <c r="N986" s="232"/>
    </row>
    <row r="987">
      <c r="F987" s="232"/>
      <c r="I987" s="232"/>
      <c r="K987" s="232"/>
      <c r="N987" s="232"/>
    </row>
    <row r="988">
      <c r="F988" s="232"/>
      <c r="I988" s="232"/>
      <c r="K988" s="232"/>
      <c r="N988" s="232"/>
    </row>
    <row r="989">
      <c r="F989" s="232"/>
      <c r="I989" s="232"/>
      <c r="K989" s="232"/>
      <c r="N989" s="232"/>
    </row>
    <row r="990">
      <c r="F990" s="232"/>
      <c r="I990" s="232"/>
      <c r="K990" s="232"/>
      <c r="N990" s="232"/>
    </row>
    <row r="991">
      <c r="F991" s="232"/>
      <c r="I991" s="232"/>
      <c r="K991" s="232"/>
      <c r="N991" s="232"/>
    </row>
    <row r="992">
      <c r="F992" s="232"/>
      <c r="I992" s="232"/>
      <c r="K992" s="232"/>
      <c r="N992" s="232"/>
    </row>
    <row r="993">
      <c r="F993" s="232"/>
      <c r="I993" s="232"/>
      <c r="K993" s="232"/>
      <c r="N993" s="232"/>
    </row>
    <row r="994">
      <c r="F994" s="232"/>
      <c r="I994" s="232"/>
      <c r="K994" s="232"/>
      <c r="N994" s="232"/>
    </row>
    <row r="995">
      <c r="F995" s="232"/>
      <c r="I995" s="232"/>
      <c r="K995" s="232"/>
      <c r="N995" s="232"/>
    </row>
    <row r="996">
      <c r="F996" s="232"/>
      <c r="I996" s="232"/>
      <c r="K996" s="232"/>
      <c r="N996" s="232"/>
    </row>
    <row r="997">
      <c r="F997" s="232"/>
      <c r="I997" s="232"/>
      <c r="K997" s="232"/>
      <c r="N997" s="232"/>
    </row>
    <row r="998">
      <c r="F998" s="232"/>
      <c r="I998" s="232"/>
      <c r="K998" s="232"/>
      <c r="N998" s="232"/>
    </row>
    <row r="999">
      <c r="F999" s="232"/>
      <c r="I999" s="232"/>
      <c r="K999" s="232"/>
      <c r="N999" s="232"/>
    </row>
    <row r="1000">
      <c r="F1000" s="232"/>
      <c r="I1000" s="232"/>
      <c r="K1000" s="232"/>
      <c r="N1000" s="232"/>
    </row>
    <row r="1001">
      <c r="F1001" s="232"/>
      <c r="I1001" s="232"/>
      <c r="K1001" s="232"/>
      <c r="N1001" s="232"/>
    </row>
    <row r="1002">
      <c r="F1002" s="232"/>
      <c r="I1002" s="232"/>
      <c r="K1002" s="232"/>
      <c r="N1002" s="232"/>
    </row>
    <row r="1003">
      <c r="F1003" s="232"/>
      <c r="I1003" s="232"/>
      <c r="K1003" s="232"/>
      <c r="N1003" s="232"/>
    </row>
    <row r="1004">
      <c r="F1004" s="232"/>
      <c r="I1004" s="232"/>
      <c r="K1004" s="232"/>
      <c r="N1004" s="232"/>
    </row>
    <row r="1005">
      <c r="F1005" s="232"/>
      <c r="I1005" s="232"/>
      <c r="K1005" s="232"/>
      <c r="N1005" s="232"/>
    </row>
    <row r="1006">
      <c r="F1006" s="232"/>
      <c r="I1006" s="232"/>
      <c r="K1006" s="232"/>
      <c r="N1006" s="232"/>
    </row>
    <row r="1007">
      <c r="F1007" s="232"/>
      <c r="I1007" s="232"/>
      <c r="K1007" s="232"/>
      <c r="N1007" s="232"/>
    </row>
  </sheetData>
  <mergeCells count="17">
    <mergeCell ref="A1:P2"/>
    <mergeCell ref="A3:P3"/>
    <mergeCell ref="A9:P9"/>
    <mergeCell ref="B11:D11"/>
    <mergeCell ref="B12:D12"/>
    <mergeCell ref="B13:D13"/>
    <mergeCell ref="B14:D14"/>
    <mergeCell ref="B28:D28"/>
    <mergeCell ref="A29:P29"/>
    <mergeCell ref="A41:P41"/>
    <mergeCell ref="B15:D15"/>
    <mergeCell ref="B16:D16"/>
    <mergeCell ref="B17:D17"/>
    <mergeCell ref="A24:P24"/>
    <mergeCell ref="B26:D26"/>
    <mergeCell ref="A27:A28"/>
    <mergeCell ref="B27:D27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5" width="15.0"/>
  </cols>
  <sheetData>
    <row r="4">
      <c r="B4" s="354" t="s">
        <v>581</v>
      </c>
      <c r="C4" s="173"/>
      <c r="D4" s="173"/>
      <c r="E4" s="174"/>
      <c r="F4" s="355" t="s">
        <v>582</v>
      </c>
      <c r="G4" s="173"/>
      <c r="H4" s="174"/>
      <c r="I4" s="356" t="s">
        <v>583</v>
      </c>
      <c r="J4" s="174"/>
      <c r="K4" s="355" t="s">
        <v>584</v>
      </c>
      <c r="L4" s="173"/>
      <c r="M4" s="173"/>
      <c r="N4" s="174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B5" s="357" t="s">
        <v>585</v>
      </c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4"/>
      <c r="N5" s="358" t="s">
        <v>586</v>
      </c>
      <c r="O5" s="358" t="s">
        <v>587</v>
      </c>
      <c r="P5" s="359"/>
      <c r="Q5" s="359"/>
      <c r="R5" s="359"/>
      <c r="S5" s="359"/>
      <c r="T5" s="359"/>
      <c r="U5" s="359"/>
      <c r="V5" s="359"/>
      <c r="W5" s="359"/>
      <c r="X5" s="359"/>
      <c r="Y5" s="359"/>
    </row>
    <row r="6">
      <c r="B6" s="360">
        <v>43862.0</v>
      </c>
      <c r="C6" s="360">
        <v>43924.0</v>
      </c>
      <c r="D6" s="360">
        <v>43987.0</v>
      </c>
      <c r="E6" s="360">
        <v>44050.0</v>
      </c>
      <c r="F6" s="360">
        <v>44113.0</v>
      </c>
      <c r="G6" s="361">
        <v>44176.0</v>
      </c>
      <c r="H6" s="362" t="s">
        <v>588</v>
      </c>
      <c r="I6" s="363" t="s">
        <v>589</v>
      </c>
      <c r="J6" s="363" t="s">
        <v>590</v>
      </c>
      <c r="K6" s="363" t="s">
        <v>591</v>
      </c>
      <c r="L6" s="363" t="s">
        <v>592</v>
      </c>
      <c r="M6" s="363" t="s">
        <v>593</v>
      </c>
      <c r="N6" s="364" t="s">
        <v>594</v>
      </c>
      <c r="O6" s="365" t="s">
        <v>595</v>
      </c>
      <c r="P6" s="359"/>
      <c r="Q6" s="359"/>
      <c r="R6" s="359"/>
      <c r="S6" s="359"/>
      <c r="T6" s="359"/>
      <c r="U6" s="359"/>
      <c r="V6" s="359"/>
      <c r="W6" s="359"/>
      <c r="X6" s="359"/>
      <c r="Y6" s="359"/>
    </row>
    <row r="7" ht="50.25" customHeight="1">
      <c r="B7" s="366" t="s">
        <v>596</v>
      </c>
      <c r="C7" s="367" t="s">
        <v>597</v>
      </c>
      <c r="D7" s="368" t="s">
        <v>598</v>
      </c>
      <c r="E7" s="369" t="s">
        <v>599</v>
      </c>
      <c r="F7" s="370" t="s">
        <v>600</v>
      </c>
      <c r="G7" s="371"/>
      <c r="H7" s="372"/>
      <c r="I7" s="373"/>
      <c r="J7" s="373"/>
      <c r="K7" s="370" t="s">
        <v>601</v>
      </c>
      <c r="L7" s="370" t="s">
        <v>602</v>
      </c>
      <c r="M7" s="370" t="s">
        <v>603</v>
      </c>
      <c r="N7" s="370" t="s">
        <v>604</v>
      </c>
      <c r="O7" s="370"/>
      <c r="P7" s="359"/>
      <c r="Q7" s="359"/>
      <c r="R7" s="359"/>
      <c r="S7" s="359"/>
      <c r="T7" s="359"/>
      <c r="U7" s="359"/>
      <c r="V7" s="359"/>
      <c r="W7" s="359"/>
      <c r="X7" s="359"/>
      <c r="Y7" s="359"/>
    </row>
    <row r="8" ht="53.25" customHeight="1">
      <c r="B8" s="366" t="s">
        <v>605</v>
      </c>
      <c r="C8" s="367" t="s">
        <v>606</v>
      </c>
      <c r="D8" s="368" t="s">
        <v>607</v>
      </c>
      <c r="E8" s="369" t="s">
        <v>608</v>
      </c>
      <c r="F8" s="370" t="s">
        <v>609</v>
      </c>
      <c r="G8" s="371"/>
      <c r="H8" s="372"/>
      <c r="I8" s="373"/>
      <c r="J8" s="373"/>
      <c r="K8" s="370" t="s">
        <v>610</v>
      </c>
      <c r="L8" s="370" t="s">
        <v>611</v>
      </c>
      <c r="M8" s="370" t="s">
        <v>612</v>
      </c>
      <c r="N8" s="370" t="s">
        <v>613</v>
      </c>
      <c r="O8" s="370"/>
      <c r="P8" s="374"/>
      <c r="Q8" s="374"/>
      <c r="R8" s="374"/>
      <c r="S8" s="374"/>
      <c r="T8" s="374"/>
      <c r="U8" s="374"/>
      <c r="V8" s="374"/>
      <c r="W8" s="374"/>
      <c r="X8" s="374"/>
      <c r="Y8" s="374"/>
    </row>
    <row r="11">
      <c r="B11" s="354" t="s">
        <v>614</v>
      </c>
      <c r="C11" s="173"/>
      <c r="D11" s="173"/>
      <c r="E11" s="174"/>
      <c r="F11" s="355" t="s">
        <v>615</v>
      </c>
      <c r="G11" s="173"/>
      <c r="H11" s="174"/>
      <c r="I11" s="375"/>
      <c r="J11" s="375"/>
      <c r="K11" s="376"/>
      <c r="L11" s="376"/>
      <c r="M11" s="376"/>
      <c r="N11" s="376"/>
      <c r="O11" s="59"/>
    </row>
    <row r="12">
      <c r="B12" s="357" t="s">
        <v>585</v>
      </c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4"/>
      <c r="N12" s="377" t="s">
        <v>586</v>
      </c>
      <c r="O12" s="378" t="s">
        <v>587</v>
      </c>
    </row>
    <row r="13">
      <c r="B13" s="379">
        <v>1.0</v>
      </c>
      <c r="C13" s="379">
        <v>2.0</v>
      </c>
      <c r="D13" s="379">
        <v>3.0</v>
      </c>
      <c r="E13" s="379">
        <v>4.0</v>
      </c>
      <c r="F13" s="379">
        <v>5.0</v>
      </c>
      <c r="G13" s="380">
        <v>6.0</v>
      </c>
      <c r="H13" s="379">
        <v>7.0</v>
      </c>
      <c r="I13" s="379">
        <v>8.0</v>
      </c>
      <c r="J13" s="379">
        <v>9.0</v>
      </c>
      <c r="K13" s="379">
        <v>10.0</v>
      </c>
      <c r="L13" s="379">
        <v>11.0</v>
      </c>
      <c r="M13" s="380">
        <v>12.0</v>
      </c>
      <c r="N13" s="381"/>
      <c r="O13" s="382"/>
    </row>
    <row r="14" ht="35.25" customHeight="1">
      <c r="B14" s="383" t="s">
        <v>616</v>
      </c>
      <c r="C14" s="383" t="s">
        <v>617</v>
      </c>
      <c r="D14" s="383" t="s">
        <v>618</v>
      </c>
      <c r="E14" s="384" t="s">
        <v>619</v>
      </c>
      <c r="F14" s="383" t="s">
        <v>620</v>
      </c>
      <c r="G14" s="385" t="s">
        <v>621</v>
      </c>
      <c r="H14" s="370" t="s">
        <v>622</v>
      </c>
      <c r="I14" s="383" t="s">
        <v>623</v>
      </c>
      <c r="J14" s="383" t="s">
        <v>624</v>
      </c>
      <c r="K14" s="383" t="s">
        <v>625</v>
      </c>
      <c r="L14" s="383" t="s">
        <v>626</v>
      </c>
      <c r="M14" s="385" t="s">
        <v>627</v>
      </c>
      <c r="N14" s="386"/>
      <c r="O14" s="387"/>
    </row>
    <row r="15" ht="42.75" customHeight="1">
      <c r="B15" s="370" t="s">
        <v>628</v>
      </c>
      <c r="C15" s="388" t="s">
        <v>629</v>
      </c>
      <c r="D15" s="388" t="s">
        <v>630</v>
      </c>
      <c r="E15" s="370"/>
      <c r="F15" s="370"/>
      <c r="G15" s="389"/>
      <c r="H15" s="373"/>
      <c r="I15" s="373"/>
      <c r="J15" s="373"/>
      <c r="K15" s="373"/>
      <c r="L15" s="370"/>
      <c r="M15" s="370"/>
      <c r="N15" s="387"/>
      <c r="O15" s="387"/>
    </row>
    <row r="16">
      <c r="B16" s="390">
        <v>13.0</v>
      </c>
      <c r="C16" s="390">
        <v>14.0</v>
      </c>
      <c r="D16" s="390">
        <v>15.0</v>
      </c>
      <c r="E16" s="390">
        <v>16.0</v>
      </c>
      <c r="F16" s="390">
        <v>17.0</v>
      </c>
      <c r="G16" s="390">
        <v>18.0</v>
      </c>
      <c r="H16" s="390">
        <v>19.0</v>
      </c>
      <c r="I16" s="390">
        <v>20.0</v>
      </c>
      <c r="J16" s="390">
        <v>21.0</v>
      </c>
      <c r="K16" s="390">
        <v>22.0</v>
      </c>
      <c r="L16" s="390">
        <v>23.0</v>
      </c>
      <c r="M16" s="390">
        <v>24.0</v>
      </c>
    </row>
    <row r="19">
      <c r="B19" s="354" t="s">
        <v>631</v>
      </c>
      <c r="C19" s="173"/>
      <c r="D19" s="173"/>
      <c r="E19" s="174"/>
      <c r="F19" s="355" t="s">
        <v>632</v>
      </c>
      <c r="G19" s="173"/>
      <c r="H19" s="174"/>
      <c r="I19" s="356" t="s">
        <v>584</v>
      </c>
      <c r="J19" s="173"/>
      <c r="K19" s="174"/>
      <c r="L19" s="391"/>
      <c r="M19" s="391"/>
    </row>
    <row r="20">
      <c r="B20" s="357" t="s">
        <v>585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392"/>
      <c r="M20" s="378"/>
    </row>
    <row r="21">
      <c r="B21" s="379">
        <v>1.0</v>
      </c>
      <c r="C21" s="379">
        <v>2.0</v>
      </c>
      <c r="D21" s="379">
        <v>3.0</v>
      </c>
      <c r="E21" s="379">
        <v>4.0</v>
      </c>
      <c r="F21" s="379">
        <v>5.0</v>
      </c>
      <c r="G21" s="380">
        <v>6.0</v>
      </c>
      <c r="H21" s="379">
        <v>7.0</v>
      </c>
      <c r="I21" s="379" t="s">
        <v>633</v>
      </c>
      <c r="J21" s="379" t="s">
        <v>634</v>
      </c>
      <c r="K21" s="380" t="s">
        <v>635</v>
      </c>
      <c r="L21" s="393"/>
      <c r="M21" s="382"/>
    </row>
    <row r="22" ht="51.75" customHeight="1">
      <c r="B22" s="383"/>
      <c r="C22" s="383"/>
      <c r="D22" s="383"/>
      <c r="E22" s="384"/>
      <c r="F22" s="383"/>
      <c r="G22" s="394"/>
      <c r="H22" s="370" t="s">
        <v>636</v>
      </c>
      <c r="I22" s="395"/>
      <c r="J22" s="396" t="s">
        <v>637</v>
      </c>
      <c r="K22" s="397" t="s">
        <v>542</v>
      </c>
      <c r="L22" s="398"/>
      <c r="M22" s="387"/>
    </row>
    <row r="23">
      <c r="B23" s="399"/>
      <c r="C23" s="399"/>
      <c r="D23" s="399"/>
      <c r="E23" s="399"/>
      <c r="F23" s="399"/>
      <c r="G23" s="400"/>
      <c r="H23" s="401"/>
      <c r="I23" s="401"/>
      <c r="J23" s="401"/>
      <c r="K23" s="401"/>
      <c r="L23" s="387"/>
      <c r="M23" s="387"/>
    </row>
    <row r="26">
      <c r="B26" s="354" t="s">
        <v>638</v>
      </c>
      <c r="C26" s="173"/>
      <c r="D26" s="173"/>
      <c r="E26" s="174"/>
      <c r="F26" s="355" t="s">
        <v>639</v>
      </c>
      <c r="G26" s="173"/>
      <c r="H26" s="174"/>
      <c r="I26" s="356" t="s">
        <v>584</v>
      </c>
      <c r="J26" s="173"/>
      <c r="K26" s="174"/>
      <c r="L26" s="391"/>
      <c r="M26" s="391"/>
    </row>
    <row r="27">
      <c r="B27" s="357" t="s">
        <v>585</v>
      </c>
      <c r="C27" s="173"/>
      <c r="D27" s="173"/>
      <c r="E27" s="173"/>
      <c r="F27" s="173"/>
      <c r="G27" s="173"/>
      <c r="H27" s="173"/>
      <c r="I27" s="173"/>
      <c r="J27" s="173"/>
      <c r="K27" s="173"/>
      <c r="L27" s="392"/>
      <c r="M27" s="378"/>
    </row>
    <row r="28">
      <c r="B28" s="379">
        <v>1.0</v>
      </c>
      <c r="C28" s="379">
        <v>2.0</v>
      </c>
      <c r="D28" s="379">
        <v>3.0</v>
      </c>
      <c r="E28" s="379">
        <v>4.0</v>
      </c>
      <c r="F28" s="379">
        <v>5.0</v>
      </c>
      <c r="G28" s="380" t="s">
        <v>640</v>
      </c>
      <c r="H28" s="379" t="s">
        <v>641</v>
      </c>
      <c r="I28" s="379" t="s">
        <v>633</v>
      </c>
      <c r="J28" s="379" t="s">
        <v>634</v>
      </c>
      <c r="K28" s="380" t="s">
        <v>635</v>
      </c>
      <c r="L28" s="393"/>
      <c r="M28" s="382"/>
    </row>
    <row r="29" ht="48.75" customHeight="1">
      <c r="B29" s="383"/>
      <c r="C29" s="383" t="s">
        <v>642</v>
      </c>
      <c r="D29" s="396" t="s">
        <v>643</v>
      </c>
      <c r="E29" s="384"/>
      <c r="F29" s="383"/>
      <c r="G29" s="394"/>
      <c r="H29" s="395"/>
      <c r="I29" s="395"/>
      <c r="J29" s="395"/>
      <c r="K29" s="394"/>
      <c r="L29" s="398"/>
      <c r="M29" s="387"/>
    </row>
    <row r="30">
      <c r="B30" s="399"/>
      <c r="C30" s="399"/>
      <c r="D30" s="399"/>
      <c r="E30" s="399"/>
      <c r="F30" s="399"/>
      <c r="G30" s="400"/>
      <c r="H30" s="401"/>
      <c r="I30" s="401"/>
      <c r="J30" s="401"/>
      <c r="K30" s="401"/>
      <c r="L30" s="387"/>
      <c r="M30" s="387"/>
    </row>
  </sheetData>
  <mergeCells count="16">
    <mergeCell ref="B4:E4"/>
    <mergeCell ref="F4:H4"/>
    <mergeCell ref="I4:J4"/>
    <mergeCell ref="K4:N4"/>
    <mergeCell ref="B5:M5"/>
    <mergeCell ref="F11:H11"/>
    <mergeCell ref="B12:M12"/>
    <mergeCell ref="B26:E26"/>
    <mergeCell ref="B27:K27"/>
    <mergeCell ref="B11:E11"/>
    <mergeCell ref="B19:E19"/>
    <mergeCell ref="F19:H19"/>
    <mergeCell ref="I19:K19"/>
    <mergeCell ref="B20:K20"/>
    <mergeCell ref="F26:H26"/>
    <mergeCell ref="I26:K2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6.63"/>
    <col customWidth="1" min="3" max="3" width="34.88"/>
    <col customWidth="1" min="4" max="4" width="15.75"/>
    <col customWidth="1" min="5" max="5" width="10.13"/>
    <col customWidth="1" min="6" max="6" width="15.88"/>
    <col customWidth="1" min="7" max="7" width="46.25"/>
    <col customWidth="1" min="8" max="8" width="46.0"/>
    <col customWidth="1" min="10" max="10" width="12.5"/>
  </cols>
  <sheetData>
    <row r="1">
      <c r="A1" s="402" t="s">
        <v>644</v>
      </c>
      <c r="B1" s="403"/>
      <c r="C1" s="403"/>
      <c r="D1" s="403"/>
      <c r="E1" s="403"/>
      <c r="F1" s="403"/>
      <c r="G1" s="403"/>
      <c r="H1" s="403"/>
      <c r="I1" s="403"/>
      <c r="J1" s="404"/>
    </row>
    <row r="2">
      <c r="A2" s="405"/>
      <c r="J2" s="406"/>
    </row>
    <row r="3">
      <c r="A3" s="407"/>
      <c r="B3" s="408"/>
      <c r="C3" s="408"/>
      <c r="D3" s="408"/>
      <c r="E3" s="408"/>
      <c r="F3" s="408"/>
      <c r="G3" s="408"/>
      <c r="H3" s="408"/>
      <c r="I3" s="408"/>
      <c r="J3" s="409"/>
    </row>
    <row r="4">
      <c r="A4" s="410" t="s">
        <v>645</v>
      </c>
      <c r="B4" s="410"/>
      <c r="C4" s="411"/>
    </row>
    <row r="5">
      <c r="A5" s="412" t="s">
        <v>646</v>
      </c>
      <c r="B5" s="413" t="s">
        <v>647</v>
      </c>
      <c r="C5" s="414" t="s">
        <v>648</v>
      </c>
      <c r="D5" s="415" t="s">
        <v>649</v>
      </c>
      <c r="E5" s="415" t="s">
        <v>650</v>
      </c>
      <c r="F5" s="416" t="s">
        <v>651</v>
      </c>
      <c r="G5" s="416" t="s">
        <v>652</v>
      </c>
      <c r="H5" s="416" t="s">
        <v>653</v>
      </c>
      <c r="I5" s="414" t="s">
        <v>654</v>
      </c>
      <c r="J5" s="417"/>
    </row>
    <row r="6" ht="32.25" customHeight="1">
      <c r="A6" s="418" t="s">
        <v>655</v>
      </c>
      <c r="B6" s="418" t="s">
        <v>4</v>
      </c>
      <c r="C6" s="419" t="s">
        <v>656</v>
      </c>
      <c r="D6" s="420" t="s">
        <v>657</v>
      </c>
      <c r="E6" s="420">
        <v>33190.0</v>
      </c>
      <c r="F6" s="420" t="s">
        <v>658</v>
      </c>
      <c r="G6" s="420" t="s">
        <v>659</v>
      </c>
      <c r="H6" s="420" t="s">
        <v>660</v>
      </c>
      <c r="I6" s="421" t="b">
        <v>0</v>
      </c>
      <c r="J6" s="422"/>
    </row>
    <row r="7" ht="39.75" customHeight="1">
      <c r="A7" s="418" t="s">
        <v>661</v>
      </c>
      <c r="B7" s="423" t="s">
        <v>5</v>
      </c>
      <c r="C7" s="419" t="s">
        <v>662</v>
      </c>
      <c r="D7" s="420" t="s">
        <v>663</v>
      </c>
      <c r="E7" s="420">
        <v>33204.0</v>
      </c>
      <c r="F7" s="420" t="s">
        <v>658</v>
      </c>
      <c r="G7" s="420" t="s">
        <v>664</v>
      </c>
      <c r="H7" s="420" t="s">
        <v>665</v>
      </c>
      <c r="I7" s="424" t="b">
        <v>0</v>
      </c>
      <c r="J7" s="422"/>
    </row>
    <row r="8" ht="37.5" customHeight="1">
      <c r="A8" s="418" t="s">
        <v>666</v>
      </c>
      <c r="B8" s="418" t="s">
        <v>667</v>
      </c>
      <c r="C8" s="419" t="s">
        <v>668</v>
      </c>
      <c r="D8" s="420" t="s">
        <v>657</v>
      </c>
      <c r="E8" s="420">
        <v>33191.0</v>
      </c>
      <c r="F8" s="420" t="s">
        <v>658</v>
      </c>
      <c r="G8" s="420" t="s">
        <v>669</v>
      </c>
      <c r="H8" s="420" t="s">
        <v>670</v>
      </c>
      <c r="I8" s="421" t="b">
        <v>0</v>
      </c>
      <c r="J8" s="422"/>
    </row>
    <row r="9" ht="38.25" customHeight="1">
      <c r="A9" s="418" t="s">
        <v>671</v>
      </c>
      <c r="B9" s="418" t="s">
        <v>7</v>
      </c>
      <c r="C9" s="419" t="s">
        <v>672</v>
      </c>
      <c r="D9" s="420" t="s">
        <v>663</v>
      </c>
      <c r="E9" s="420">
        <v>33207.0</v>
      </c>
      <c r="F9" s="420" t="s">
        <v>658</v>
      </c>
      <c r="G9" s="420" t="s">
        <v>673</v>
      </c>
      <c r="H9" s="420" t="s">
        <v>674</v>
      </c>
      <c r="I9" s="421" t="b">
        <v>0</v>
      </c>
      <c r="J9" s="422"/>
    </row>
    <row r="10" ht="39.0" customHeight="1">
      <c r="A10" s="418" t="s">
        <v>675</v>
      </c>
      <c r="B10" s="418" t="s">
        <v>13</v>
      </c>
      <c r="C10" s="419" t="s">
        <v>676</v>
      </c>
      <c r="D10" s="420" t="s">
        <v>657</v>
      </c>
      <c r="E10" s="420">
        <v>33210.0</v>
      </c>
      <c r="F10" s="420" t="s">
        <v>658</v>
      </c>
      <c r="G10" s="420" t="s">
        <v>677</v>
      </c>
      <c r="H10" s="420" t="s">
        <v>678</v>
      </c>
      <c r="I10" s="421" t="b">
        <v>0</v>
      </c>
      <c r="J10" s="422"/>
    </row>
    <row r="11" ht="39.0" customHeight="1">
      <c r="A11" s="418" t="s">
        <v>679</v>
      </c>
      <c r="B11" s="418" t="s">
        <v>8</v>
      </c>
      <c r="C11" s="419" t="s">
        <v>680</v>
      </c>
      <c r="D11" s="420" t="s">
        <v>657</v>
      </c>
      <c r="E11" s="420">
        <v>33200.0</v>
      </c>
      <c r="F11" s="420" t="s">
        <v>658</v>
      </c>
      <c r="G11" s="420" t="s">
        <v>681</v>
      </c>
      <c r="H11" s="420" t="s">
        <v>682</v>
      </c>
      <c r="I11" s="421" t="b">
        <v>0</v>
      </c>
      <c r="J11" s="422"/>
    </row>
    <row r="12" ht="39.0" customHeight="1">
      <c r="A12" s="425" t="s">
        <v>683</v>
      </c>
      <c r="B12" s="426" t="s">
        <v>9</v>
      </c>
      <c r="C12" s="419" t="s">
        <v>684</v>
      </c>
      <c r="D12" s="420" t="s">
        <v>657</v>
      </c>
      <c r="E12" s="420">
        <v>33199.0</v>
      </c>
      <c r="F12" s="420" t="s">
        <v>658</v>
      </c>
      <c r="G12" s="420" t="s">
        <v>685</v>
      </c>
      <c r="H12" s="420" t="s">
        <v>686</v>
      </c>
      <c r="I12" s="421" t="b">
        <v>0</v>
      </c>
      <c r="J12" s="422"/>
    </row>
    <row r="13" ht="39.0" customHeight="1">
      <c r="A13" s="425" t="s">
        <v>687</v>
      </c>
      <c r="B13" s="425" t="s">
        <v>10</v>
      </c>
      <c r="C13" s="419" t="s">
        <v>688</v>
      </c>
      <c r="D13" s="420" t="s">
        <v>657</v>
      </c>
      <c r="E13" s="420">
        <v>33196.0</v>
      </c>
      <c r="F13" s="420" t="s">
        <v>658</v>
      </c>
      <c r="G13" s="420" t="s">
        <v>689</v>
      </c>
      <c r="H13" s="420" t="s">
        <v>690</v>
      </c>
      <c r="I13" s="421" t="b">
        <v>0</v>
      </c>
      <c r="J13" s="422"/>
    </row>
    <row r="14" ht="44.25" customHeight="1">
      <c r="A14" s="425" t="s">
        <v>691</v>
      </c>
      <c r="B14" s="425" t="s">
        <v>11</v>
      </c>
      <c r="C14" s="419" t="s">
        <v>692</v>
      </c>
      <c r="D14" s="420" t="s">
        <v>663</v>
      </c>
      <c r="E14" s="420">
        <v>33208.0</v>
      </c>
      <c r="F14" s="420" t="s">
        <v>658</v>
      </c>
      <c r="G14" s="420" t="s">
        <v>693</v>
      </c>
      <c r="H14" s="420" t="s">
        <v>694</v>
      </c>
      <c r="I14" s="421" t="b">
        <v>0</v>
      </c>
      <c r="J14" s="422"/>
    </row>
    <row r="15" ht="53.25" customHeight="1">
      <c r="A15" s="425" t="s">
        <v>695</v>
      </c>
      <c r="B15" s="425" t="s">
        <v>12</v>
      </c>
      <c r="C15" s="419" t="s">
        <v>696</v>
      </c>
      <c r="D15" s="420" t="s">
        <v>663</v>
      </c>
      <c r="E15" s="420">
        <v>33209.0</v>
      </c>
      <c r="F15" s="420" t="s">
        <v>658</v>
      </c>
      <c r="G15" s="420" t="s">
        <v>697</v>
      </c>
      <c r="H15" s="420" t="s">
        <v>698</v>
      </c>
      <c r="I15" s="421" t="b">
        <v>0</v>
      </c>
      <c r="J15" s="422"/>
    </row>
  </sheetData>
  <mergeCells count="13">
    <mergeCell ref="I10:J10"/>
    <mergeCell ref="I11:J11"/>
    <mergeCell ref="I12:J12"/>
    <mergeCell ref="I13:J13"/>
    <mergeCell ref="I14:J14"/>
    <mergeCell ref="I15:J15"/>
    <mergeCell ref="A1:J3"/>
    <mergeCell ref="C4:J4"/>
    <mergeCell ref="I5:J5"/>
    <mergeCell ref="I6:J6"/>
    <mergeCell ref="I7:J7"/>
    <mergeCell ref="I8:J8"/>
    <mergeCell ref="I9:J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3.63"/>
    <col customWidth="1" min="3" max="3" width="11.63"/>
    <col customWidth="1" min="4" max="4" width="20.63"/>
    <col customWidth="1" min="5" max="5" width="18.38"/>
    <col customWidth="1" min="6" max="7" width="33.5"/>
    <col customWidth="1" min="8" max="8" width="21.38"/>
  </cols>
  <sheetData>
    <row r="1">
      <c r="A1" s="427"/>
      <c r="G1" s="427"/>
      <c r="H1" s="59"/>
      <c r="I1" s="59"/>
    </row>
    <row r="2">
      <c r="A2" s="428" t="s">
        <v>699</v>
      </c>
      <c r="B2" s="429" t="s">
        <v>700</v>
      </c>
      <c r="C2" s="430" t="s">
        <v>701</v>
      </c>
      <c r="D2" s="430" t="s">
        <v>702</v>
      </c>
      <c r="E2" s="429" t="s">
        <v>703</v>
      </c>
      <c r="F2" s="431" t="s">
        <v>704</v>
      </c>
      <c r="G2" s="432" t="s">
        <v>705</v>
      </c>
      <c r="H2" s="59"/>
      <c r="I2" s="59"/>
    </row>
    <row r="3">
      <c r="A3" s="433" t="s">
        <v>706</v>
      </c>
      <c r="B3" s="434" t="s">
        <v>439</v>
      </c>
      <c r="C3" s="434" t="s">
        <v>707</v>
      </c>
      <c r="D3" s="434" t="s">
        <v>708</v>
      </c>
      <c r="E3" s="435">
        <v>7.0</v>
      </c>
      <c r="F3" s="436" t="s">
        <v>709</v>
      </c>
      <c r="G3" s="437" t="s">
        <v>710</v>
      </c>
      <c r="H3" s="60"/>
      <c r="I3" s="60"/>
    </row>
    <row r="4">
      <c r="A4" s="438" t="s">
        <v>711</v>
      </c>
      <c r="B4" s="439" t="s">
        <v>439</v>
      </c>
      <c r="C4" s="439" t="s">
        <v>712</v>
      </c>
      <c r="D4" s="439" t="s">
        <v>707</v>
      </c>
      <c r="E4" s="439">
        <v>9.0</v>
      </c>
      <c r="F4" s="440" t="s">
        <v>713</v>
      </c>
      <c r="G4" s="441" t="s">
        <v>714</v>
      </c>
      <c r="H4" s="60"/>
      <c r="I4" s="60"/>
    </row>
    <row r="5">
      <c r="A5" s="442" t="s">
        <v>715</v>
      </c>
      <c r="B5" s="443" t="s">
        <v>439</v>
      </c>
      <c r="C5" s="443" t="s">
        <v>716</v>
      </c>
      <c r="D5" s="443" t="s">
        <v>712</v>
      </c>
      <c r="E5" s="443">
        <v>9.0</v>
      </c>
      <c r="F5" s="444" t="s">
        <v>713</v>
      </c>
      <c r="G5" s="445" t="s">
        <v>717</v>
      </c>
      <c r="H5" s="60"/>
      <c r="I5" s="60"/>
    </row>
    <row r="6">
      <c r="A6" s="446" t="s">
        <v>718</v>
      </c>
      <c r="B6" s="447" t="s">
        <v>439</v>
      </c>
      <c r="C6" s="447" t="s">
        <v>719</v>
      </c>
      <c r="D6" s="447" t="s">
        <v>716</v>
      </c>
      <c r="E6" s="447">
        <v>9.0</v>
      </c>
      <c r="F6" s="448" t="s">
        <v>713</v>
      </c>
      <c r="G6" s="449" t="s">
        <v>717</v>
      </c>
      <c r="H6" s="60"/>
      <c r="I6" s="60"/>
    </row>
    <row r="7">
      <c r="A7" s="450" t="s">
        <v>720</v>
      </c>
      <c r="B7" s="451" t="s">
        <v>439</v>
      </c>
      <c r="C7" s="451" t="s">
        <v>721</v>
      </c>
      <c r="D7" s="451" t="s">
        <v>719</v>
      </c>
      <c r="E7" s="451">
        <v>9.0</v>
      </c>
      <c r="F7" s="452" t="s">
        <v>713</v>
      </c>
      <c r="G7" s="453" t="s">
        <v>717</v>
      </c>
      <c r="H7" s="60"/>
      <c r="I7" s="60"/>
    </row>
    <row r="8">
      <c r="A8" s="454" t="s">
        <v>722</v>
      </c>
      <c r="B8" s="455" t="s">
        <v>481</v>
      </c>
      <c r="C8" s="455" t="s">
        <v>723</v>
      </c>
      <c r="D8" s="455" t="s">
        <v>640</v>
      </c>
      <c r="E8" s="455">
        <v>3.0</v>
      </c>
      <c r="F8" s="456" t="s">
        <v>546</v>
      </c>
      <c r="G8" s="457" t="s">
        <v>724</v>
      </c>
      <c r="H8" s="60"/>
      <c r="I8" s="60"/>
    </row>
    <row r="9">
      <c r="A9" s="458" t="s">
        <v>725</v>
      </c>
      <c r="B9" s="459" t="s">
        <v>481</v>
      </c>
      <c r="C9" s="459" t="s">
        <v>723</v>
      </c>
      <c r="D9" s="459" t="s">
        <v>641</v>
      </c>
      <c r="E9" s="459">
        <v>3.0</v>
      </c>
      <c r="F9" s="460">
        <v>45732.0</v>
      </c>
      <c r="G9" s="457" t="s">
        <v>726</v>
      </c>
    </row>
    <row r="10">
      <c r="A10" s="458" t="s">
        <v>727</v>
      </c>
      <c r="B10" s="459" t="s">
        <v>481</v>
      </c>
      <c r="C10" s="459" t="s">
        <v>723</v>
      </c>
      <c r="D10" s="459" t="s">
        <v>728</v>
      </c>
      <c r="E10" s="459">
        <v>3.0</v>
      </c>
      <c r="F10" s="460">
        <v>45732.0</v>
      </c>
      <c r="G10" s="457" t="s">
        <v>729</v>
      </c>
      <c r="H10" s="461"/>
    </row>
    <row r="11">
      <c r="A11" s="458" t="s">
        <v>730</v>
      </c>
      <c r="B11" s="459" t="s">
        <v>481</v>
      </c>
      <c r="C11" s="459" t="s">
        <v>723</v>
      </c>
      <c r="D11" s="459" t="s">
        <v>731</v>
      </c>
      <c r="E11" s="459">
        <v>3.0</v>
      </c>
      <c r="F11" s="462" t="s">
        <v>709</v>
      </c>
      <c r="G11" s="457" t="s">
        <v>710</v>
      </c>
    </row>
    <row r="12">
      <c r="A12" s="458" t="s">
        <v>732</v>
      </c>
      <c r="B12" s="459" t="s">
        <v>481</v>
      </c>
      <c r="C12" s="459" t="s">
        <v>723</v>
      </c>
      <c r="D12" s="459" t="s">
        <v>721</v>
      </c>
      <c r="E12" s="459">
        <v>3.0</v>
      </c>
      <c r="F12" s="462" t="s">
        <v>713</v>
      </c>
      <c r="G12" s="457" t="s">
        <v>546</v>
      </c>
      <c r="H12" s="461"/>
    </row>
  </sheetData>
  <mergeCells count="1">
    <mergeCell ref="A1:F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.25"/>
    <col customWidth="1" min="3" max="3" width="12.0"/>
    <col customWidth="1" min="5" max="5" width="7.13"/>
    <col customWidth="1" min="6" max="6" width="6.0"/>
    <col customWidth="1" min="9" max="9" width="16.63"/>
    <col customWidth="1" min="10" max="10" width="15.25"/>
    <col customWidth="1" min="11" max="11" width="7.25"/>
    <col customWidth="1" min="12" max="12" width="7.5"/>
    <col customWidth="1" min="14" max="14" width="12.88"/>
    <col customWidth="1" min="15" max="15" width="13.75"/>
  </cols>
  <sheetData>
    <row r="1">
      <c r="A1" s="463" t="s">
        <v>733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4"/>
    </row>
    <row r="2">
      <c r="A2" s="464" t="s">
        <v>734</v>
      </c>
      <c r="B2" s="465"/>
      <c r="C2" s="465"/>
      <c r="D2" s="465"/>
      <c r="E2" s="69"/>
      <c r="F2" s="466"/>
      <c r="G2" s="467" t="s">
        <v>735</v>
      </c>
      <c r="H2" s="465"/>
      <c r="I2" s="465"/>
      <c r="J2" s="465"/>
      <c r="K2" s="69"/>
      <c r="L2" s="468"/>
      <c r="M2" s="467" t="s">
        <v>736</v>
      </c>
      <c r="N2" s="465"/>
      <c r="O2" s="69"/>
    </row>
    <row r="3">
      <c r="A3" s="469" t="s">
        <v>737</v>
      </c>
      <c r="B3" s="469"/>
      <c r="C3" s="470" t="s">
        <v>738</v>
      </c>
      <c r="D3" s="469" t="s">
        <v>739</v>
      </c>
      <c r="E3" s="471" t="s">
        <v>740</v>
      </c>
      <c r="F3" s="466"/>
      <c r="G3" s="472" t="s">
        <v>741</v>
      </c>
      <c r="H3" s="470" t="s">
        <v>738</v>
      </c>
      <c r="I3" s="469" t="s">
        <v>742</v>
      </c>
      <c r="J3" s="472" t="s">
        <v>739</v>
      </c>
      <c r="K3" s="471" t="s">
        <v>740</v>
      </c>
      <c r="L3" s="468" t="s">
        <v>743</v>
      </c>
      <c r="M3" s="472" t="s">
        <v>744</v>
      </c>
      <c r="N3" s="469" t="s">
        <v>742</v>
      </c>
      <c r="O3" s="472" t="s">
        <v>739</v>
      </c>
    </row>
    <row r="4">
      <c r="A4" s="473" t="s">
        <v>745</v>
      </c>
      <c r="B4" s="474"/>
      <c r="C4" s="475">
        <v>1.0</v>
      </c>
      <c r="D4" s="476" t="s">
        <v>746</v>
      </c>
      <c r="E4" s="477" t="b">
        <v>1</v>
      </c>
      <c r="F4" s="466"/>
      <c r="G4" s="478">
        <v>1.0</v>
      </c>
      <c r="H4" s="478">
        <v>1.0</v>
      </c>
      <c r="I4" s="478" t="s">
        <v>747</v>
      </c>
      <c r="J4" s="478" t="s">
        <v>414</v>
      </c>
      <c r="K4" s="477" t="b">
        <v>1</v>
      </c>
      <c r="L4" s="479"/>
      <c r="M4" s="478" t="s">
        <v>748</v>
      </c>
      <c r="N4" s="480" t="s">
        <v>749</v>
      </c>
      <c r="O4" s="478" t="s">
        <v>414</v>
      </c>
    </row>
    <row r="5">
      <c r="A5" s="473" t="s">
        <v>750</v>
      </c>
      <c r="B5" s="474"/>
      <c r="C5" s="475">
        <v>2.0</v>
      </c>
      <c r="D5" s="476" t="s">
        <v>751</v>
      </c>
      <c r="E5" s="477" t="b">
        <v>1</v>
      </c>
      <c r="F5" s="466"/>
      <c r="G5" s="478">
        <v>2.0</v>
      </c>
      <c r="H5" s="478">
        <v>2.0</v>
      </c>
      <c r="I5" s="478" t="s">
        <v>752</v>
      </c>
      <c r="J5" s="478" t="s">
        <v>751</v>
      </c>
      <c r="K5" s="477" t="b">
        <v>1</v>
      </c>
      <c r="L5" s="479"/>
      <c r="M5" s="478" t="s">
        <v>753</v>
      </c>
      <c r="N5" s="480" t="s">
        <v>754</v>
      </c>
      <c r="O5" s="478" t="s">
        <v>751</v>
      </c>
    </row>
    <row r="6">
      <c r="A6" s="473" t="s">
        <v>755</v>
      </c>
      <c r="B6" s="474"/>
      <c r="C6" s="475">
        <v>3.0</v>
      </c>
      <c r="D6" s="476" t="s">
        <v>416</v>
      </c>
      <c r="E6" s="477" t="b">
        <v>1</v>
      </c>
      <c r="F6" s="466"/>
      <c r="G6" s="478">
        <v>3.0</v>
      </c>
      <c r="H6" s="478">
        <v>3.0</v>
      </c>
      <c r="I6" s="478" t="s">
        <v>756</v>
      </c>
      <c r="J6" s="478" t="s">
        <v>416</v>
      </c>
      <c r="K6" s="477" t="b">
        <v>1</v>
      </c>
      <c r="L6" s="479"/>
      <c r="M6" s="478" t="s">
        <v>757</v>
      </c>
      <c r="N6" s="480" t="s">
        <v>758</v>
      </c>
      <c r="O6" s="478" t="s">
        <v>416</v>
      </c>
    </row>
    <row r="7">
      <c r="A7" s="473" t="s">
        <v>759</v>
      </c>
      <c r="B7" s="474"/>
      <c r="C7" s="475">
        <v>4.0</v>
      </c>
      <c r="D7" s="476" t="s">
        <v>417</v>
      </c>
      <c r="E7" s="477" t="b">
        <v>1</v>
      </c>
      <c r="F7" s="466"/>
      <c r="G7" s="478">
        <v>4.0</v>
      </c>
      <c r="H7" s="478">
        <v>4.0</v>
      </c>
      <c r="I7" s="478" t="s">
        <v>760</v>
      </c>
      <c r="J7" s="478" t="s">
        <v>417</v>
      </c>
      <c r="K7" s="477" t="b">
        <v>1</v>
      </c>
      <c r="L7" s="479"/>
      <c r="M7" s="478" t="s">
        <v>761</v>
      </c>
      <c r="N7" s="480" t="s">
        <v>762</v>
      </c>
      <c r="O7" s="478" t="s">
        <v>417</v>
      </c>
    </row>
    <row r="8">
      <c r="A8" s="473" t="s">
        <v>763</v>
      </c>
      <c r="B8" s="481"/>
      <c r="C8" s="475">
        <v>5.0</v>
      </c>
      <c r="D8" s="473" t="s">
        <v>764</v>
      </c>
      <c r="E8" s="477" t="b">
        <v>0</v>
      </c>
      <c r="F8" s="466"/>
      <c r="G8" s="482">
        <v>5.0</v>
      </c>
      <c r="H8" s="482"/>
      <c r="I8" s="482"/>
      <c r="J8" s="482"/>
      <c r="K8" s="477" t="b">
        <v>0</v>
      </c>
      <c r="L8" s="479"/>
      <c r="M8" s="482" t="s">
        <v>765</v>
      </c>
      <c r="N8" s="482"/>
      <c r="O8" s="482"/>
    </row>
    <row r="9">
      <c r="A9" s="473" t="s">
        <v>766</v>
      </c>
      <c r="B9" s="481"/>
      <c r="C9" s="475">
        <v>6.0</v>
      </c>
      <c r="D9" s="483"/>
      <c r="E9" s="477" t="b">
        <v>0</v>
      </c>
      <c r="F9" s="466"/>
      <c r="G9" s="484">
        <v>6.0</v>
      </c>
      <c r="H9" s="485"/>
      <c r="I9" s="485"/>
      <c r="J9" s="485"/>
      <c r="K9" s="477" t="b">
        <v>0</v>
      </c>
      <c r="L9" s="479"/>
      <c r="M9" s="484" t="s">
        <v>767</v>
      </c>
      <c r="N9" s="485"/>
      <c r="O9" s="485"/>
      <c r="R9" s="486"/>
    </row>
    <row r="10">
      <c r="A10" s="485"/>
      <c r="B10" s="487"/>
      <c r="C10" s="488">
        <v>7.0</v>
      </c>
      <c r="D10" s="485"/>
      <c r="E10" s="477" t="b">
        <v>0</v>
      </c>
      <c r="F10" s="466"/>
      <c r="G10" s="489">
        <v>7.0</v>
      </c>
      <c r="H10" s="490"/>
      <c r="I10" s="490"/>
      <c r="J10" s="490"/>
      <c r="K10" s="477" t="b">
        <v>0</v>
      </c>
      <c r="L10" s="479"/>
      <c r="M10" s="491"/>
      <c r="N10" s="491"/>
      <c r="O10" s="491"/>
      <c r="Q10" s="486"/>
    </row>
    <row r="11">
      <c r="A11" s="485"/>
      <c r="B11" s="487"/>
      <c r="C11" s="488">
        <v>8.0</v>
      </c>
      <c r="D11" s="485"/>
      <c r="E11" s="477" t="b">
        <v>0</v>
      </c>
      <c r="F11" s="466"/>
      <c r="G11" s="492">
        <v>8.0</v>
      </c>
      <c r="H11" s="493">
        <v>14.0</v>
      </c>
      <c r="I11" s="493" t="s">
        <v>768</v>
      </c>
      <c r="J11" s="494" t="s">
        <v>769</v>
      </c>
      <c r="K11" s="477" t="b">
        <v>1</v>
      </c>
      <c r="L11" s="479"/>
      <c r="M11" s="491"/>
      <c r="N11" s="491"/>
      <c r="O11" s="491"/>
      <c r="R11" s="495"/>
    </row>
    <row r="12">
      <c r="A12" s="485"/>
      <c r="B12" s="487"/>
      <c r="C12" s="488">
        <v>9.0</v>
      </c>
      <c r="D12" s="485"/>
      <c r="E12" s="477" t="b">
        <v>0</v>
      </c>
      <c r="F12" s="466"/>
      <c r="G12" s="496">
        <v>9.0</v>
      </c>
      <c r="H12" s="493">
        <v>15.0</v>
      </c>
      <c r="I12" s="493" t="s">
        <v>770</v>
      </c>
      <c r="J12" s="496" t="s">
        <v>771</v>
      </c>
      <c r="K12" s="477" t="b">
        <v>1</v>
      </c>
      <c r="L12" s="479"/>
      <c r="M12" s="491"/>
      <c r="N12" s="491"/>
      <c r="O12" s="491"/>
    </row>
    <row r="13">
      <c r="A13" s="485"/>
      <c r="B13" s="487"/>
      <c r="C13" s="488">
        <v>10.0</v>
      </c>
      <c r="D13" s="485"/>
      <c r="E13" s="477" t="b">
        <v>0</v>
      </c>
      <c r="F13" s="466"/>
      <c r="G13" s="492">
        <v>10.0</v>
      </c>
      <c r="H13" s="493">
        <v>5.0</v>
      </c>
      <c r="I13" s="493" t="s">
        <v>772</v>
      </c>
      <c r="J13" s="496" t="s">
        <v>764</v>
      </c>
      <c r="K13" s="477" t="b">
        <v>1</v>
      </c>
      <c r="L13" s="479"/>
      <c r="M13" s="491"/>
      <c r="N13" s="491"/>
      <c r="O13" s="491"/>
      <c r="Q13" s="486"/>
    </row>
    <row r="14">
      <c r="A14" s="485"/>
      <c r="B14" s="487"/>
      <c r="C14" s="488">
        <v>11.0</v>
      </c>
      <c r="D14" s="485"/>
      <c r="E14" s="477" t="b">
        <v>0</v>
      </c>
      <c r="F14" s="466"/>
      <c r="G14" s="496">
        <v>11.0</v>
      </c>
      <c r="H14" s="493">
        <v>5.0</v>
      </c>
      <c r="I14" s="493" t="s">
        <v>773</v>
      </c>
      <c r="J14" s="496" t="s">
        <v>764</v>
      </c>
      <c r="K14" s="477" t="b">
        <v>1</v>
      </c>
      <c r="L14" s="479"/>
      <c r="M14" s="466"/>
      <c r="N14" s="467" t="s">
        <v>774</v>
      </c>
      <c r="O14" s="69"/>
      <c r="R14" s="495"/>
    </row>
    <row r="15">
      <c r="A15" s="497" t="s">
        <v>775</v>
      </c>
      <c r="B15" s="498"/>
      <c r="C15" s="499">
        <v>12.0</v>
      </c>
      <c r="D15" s="497" t="s">
        <v>776</v>
      </c>
      <c r="E15" s="477" t="b">
        <v>1</v>
      </c>
      <c r="F15" s="466"/>
      <c r="G15" s="484">
        <v>12.0</v>
      </c>
      <c r="H15" s="484"/>
      <c r="I15" s="484"/>
      <c r="J15" s="488"/>
      <c r="K15" s="477" t="b">
        <v>0</v>
      </c>
      <c r="L15" s="479"/>
      <c r="M15" s="466"/>
      <c r="N15" s="483"/>
      <c r="O15" s="484" t="s">
        <v>777</v>
      </c>
    </row>
    <row r="16">
      <c r="A16" s="500" t="s">
        <v>778</v>
      </c>
      <c r="B16" s="501"/>
      <c r="C16" s="502">
        <v>13.0</v>
      </c>
      <c r="D16" s="500" t="s">
        <v>779</v>
      </c>
      <c r="E16" s="477" t="b">
        <v>1</v>
      </c>
      <c r="F16" s="466"/>
      <c r="G16" s="482">
        <v>13.0</v>
      </c>
      <c r="H16" s="485"/>
      <c r="I16" s="485"/>
      <c r="J16" s="485"/>
      <c r="K16" s="477" t="b">
        <v>0</v>
      </c>
      <c r="L16" s="479"/>
      <c r="M16" s="466"/>
      <c r="N16" s="503"/>
      <c r="O16" s="484" t="s">
        <v>780</v>
      </c>
    </row>
    <row r="17">
      <c r="A17" s="504" t="s">
        <v>781</v>
      </c>
      <c r="B17" s="505"/>
      <c r="C17" s="506">
        <v>14.0</v>
      </c>
      <c r="D17" s="504" t="s">
        <v>782</v>
      </c>
      <c r="E17" s="477" t="b">
        <v>1</v>
      </c>
      <c r="F17" s="466"/>
      <c r="G17" s="482">
        <v>14.0</v>
      </c>
      <c r="H17" s="485"/>
      <c r="I17" s="485"/>
      <c r="J17" s="485"/>
      <c r="K17" s="477" t="b">
        <v>0</v>
      </c>
      <c r="L17" s="479"/>
      <c r="M17" s="466"/>
      <c r="N17" s="507"/>
      <c r="O17" s="484" t="s">
        <v>783</v>
      </c>
    </row>
    <row r="18">
      <c r="A18" s="500" t="s">
        <v>784</v>
      </c>
      <c r="B18" s="501"/>
      <c r="C18" s="502">
        <v>15.0</v>
      </c>
      <c r="D18" s="500" t="s">
        <v>785</v>
      </c>
      <c r="E18" s="477" t="b">
        <v>1</v>
      </c>
      <c r="F18" s="466"/>
      <c r="G18" s="482">
        <v>15.0</v>
      </c>
      <c r="H18" s="485"/>
      <c r="I18" s="485"/>
      <c r="J18" s="485"/>
      <c r="K18" s="477" t="b">
        <v>0</v>
      </c>
      <c r="L18" s="479"/>
      <c r="M18" s="466"/>
      <c r="N18" s="508"/>
      <c r="O18" s="484" t="s">
        <v>786</v>
      </c>
    </row>
    <row r="19">
      <c r="A19" s="484"/>
      <c r="B19" s="509"/>
      <c r="C19" s="488">
        <v>16.0</v>
      </c>
      <c r="D19" s="484"/>
      <c r="E19" s="477" t="b">
        <v>0</v>
      </c>
      <c r="F19" s="466"/>
      <c r="G19" s="482">
        <v>16.0</v>
      </c>
      <c r="H19" s="485"/>
      <c r="I19" s="485"/>
      <c r="J19" s="485"/>
      <c r="K19" s="477" t="b">
        <v>0</v>
      </c>
      <c r="L19" s="479"/>
      <c r="M19" s="466"/>
      <c r="N19" s="510"/>
      <c r="O19" s="511" t="s">
        <v>787</v>
      </c>
    </row>
    <row r="20">
      <c r="A20" s="485"/>
      <c r="B20" s="487"/>
      <c r="C20" s="488">
        <v>17.0</v>
      </c>
      <c r="D20" s="485"/>
      <c r="E20" s="477" t="b">
        <v>0</v>
      </c>
      <c r="F20" s="466"/>
      <c r="G20" s="512">
        <v>17.0</v>
      </c>
      <c r="H20" s="513">
        <v>5.0</v>
      </c>
      <c r="I20" s="513" t="s">
        <v>788</v>
      </c>
      <c r="J20" s="513" t="s">
        <v>764</v>
      </c>
      <c r="K20" s="477" t="b">
        <v>1</v>
      </c>
      <c r="L20" s="479"/>
      <c r="M20" s="466"/>
      <c r="N20" s="514"/>
      <c r="O20" s="484" t="s">
        <v>789</v>
      </c>
    </row>
    <row r="21">
      <c r="A21" s="485"/>
      <c r="B21" s="487"/>
      <c r="C21" s="488">
        <v>18.0</v>
      </c>
      <c r="D21" s="485"/>
      <c r="E21" s="477" t="b">
        <v>0</v>
      </c>
      <c r="F21" s="466"/>
      <c r="G21" s="515">
        <v>18.0</v>
      </c>
      <c r="H21" s="516">
        <v>5.0</v>
      </c>
      <c r="I21" s="516" t="s">
        <v>790</v>
      </c>
      <c r="J21" s="516" t="s">
        <v>764</v>
      </c>
      <c r="K21" s="477" t="b">
        <v>1</v>
      </c>
      <c r="L21" s="479"/>
      <c r="M21" s="491"/>
      <c r="N21" s="517"/>
      <c r="O21" s="484" t="s">
        <v>791</v>
      </c>
    </row>
    <row r="22">
      <c r="A22" s="485"/>
      <c r="B22" s="487"/>
      <c r="C22" s="488">
        <v>19.0</v>
      </c>
      <c r="D22" s="485"/>
      <c r="E22" s="477" t="b">
        <v>0</v>
      </c>
      <c r="F22" s="466"/>
      <c r="G22" s="512">
        <v>19.0</v>
      </c>
      <c r="H22" s="518" t="s">
        <v>792</v>
      </c>
      <c r="I22" s="513" t="s">
        <v>793</v>
      </c>
      <c r="J22" s="518" t="s">
        <v>794</v>
      </c>
      <c r="K22" s="477" t="b">
        <v>1</v>
      </c>
      <c r="L22" s="519" t="b">
        <v>0</v>
      </c>
      <c r="M22" s="491"/>
      <c r="N22" s="520"/>
      <c r="O22" s="482" t="s">
        <v>795</v>
      </c>
    </row>
    <row r="23">
      <c r="A23" s="485"/>
      <c r="B23" s="487"/>
      <c r="C23" s="488">
        <v>20.0</v>
      </c>
      <c r="D23" s="485"/>
      <c r="E23" s="477" t="b">
        <v>0</v>
      </c>
      <c r="F23" s="491"/>
      <c r="G23" s="512">
        <v>20.0</v>
      </c>
      <c r="H23" s="518" t="s">
        <v>796</v>
      </c>
      <c r="I23" s="513" t="s">
        <v>797</v>
      </c>
      <c r="J23" s="518" t="s">
        <v>798</v>
      </c>
      <c r="K23" s="477" t="b">
        <v>1</v>
      </c>
      <c r="L23" s="519" t="b">
        <v>0</v>
      </c>
      <c r="M23" s="491"/>
      <c r="N23" s="491"/>
      <c r="O23" s="491"/>
    </row>
  </sheetData>
  <mergeCells count="5">
    <mergeCell ref="A1:O1"/>
    <mergeCell ref="A2:E2"/>
    <mergeCell ref="G2:K2"/>
    <mergeCell ref="M2:O2"/>
    <mergeCell ref="N14:O14"/>
  </mergeCells>
  <conditionalFormatting sqref="E4:E23 K4:K23">
    <cfRule type="cellIs" dxfId="5" priority="1" operator="equal">
      <formula>"True"</formula>
    </cfRule>
  </conditionalFormatting>
  <conditionalFormatting sqref="E4:E23 K4:K23">
    <cfRule type="cellIs" dxfId="9" priority="2" operator="equal">
      <formula>"False"</formula>
    </cfRule>
  </conditionalFormatting>
  <conditionalFormatting sqref="L22:L23">
    <cfRule type="cellIs" dxfId="5" priority="3" operator="equal">
      <formula>"TRUE"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.25"/>
    <col customWidth="1" min="3" max="3" width="12.0"/>
    <col customWidth="1" min="5" max="5" width="7.13"/>
    <col customWidth="1" min="6" max="6" width="6.0"/>
    <col customWidth="1" min="9" max="9" width="16.63"/>
    <col customWidth="1" min="10" max="10" width="15.25"/>
    <col customWidth="1" min="11" max="11" width="7.25"/>
    <col customWidth="1" min="12" max="12" width="7.5"/>
    <col customWidth="1" min="14" max="14" width="12.88"/>
    <col customWidth="1" min="15" max="15" width="13.75"/>
  </cols>
  <sheetData>
    <row r="1">
      <c r="A1" s="521" t="s">
        <v>799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4"/>
    </row>
    <row r="2">
      <c r="A2" s="464" t="s">
        <v>734</v>
      </c>
      <c r="B2" s="465"/>
      <c r="C2" s="465"/>
      <c r="D2" s="465"/>
      <c r="E2" s="69"/>
      <c r="F2" s="466"/>
      <c r="G2" s="467" t="s">
        <v>735</v>
      </c>
      <c r="H2" s="465"/>
      <c r="I2" s="465"/>
      <c r="J2" s="465"/>
      <c r="K2" s="69"/>
      <c r="L2" s="468"/>
      <c r="M2" s="467" t="s">
        <v>736</v>
      </c>
      <c r="N2" s="465"/>
      <c r="O2" s="69"/>
    </row>
    <row r="3">
      <c r="A3" s="469" t="s">
        <v>737</v>
      </c>
      <c r="B3" s="469"/>
      <c r="C3" s="470" t="s">
        <v>738</v>
      </c>
      <c r="D3" s="469" t="s">
        <v>739</v>
      </c>
      <c r="E3" s="471" t="s">
        <v>740</v>
      </c>
      <c r="F3" s="466"/>
      <c r="G3" s="472" t="s">
        <v>741</v>
      </c>
      <c r="H3" s="470" t="s">
        <v>738</v>
      </c>
      <c r="I3" s="469" t="s">
        <v>742</v>
      </c>
      <c r="J3" s="472" t="s">
        <v>739</v>
      </c>
      <c r="K3" s="471" t="s">
        <v>740</v>
      </c>
      <c r="L3" s="468" t="s">
        <v>743</v>
      </c>
      <c r="M3" s="472" t="s">
        <v>744</v>
      </c>
      <c r="N3" s="469" t="s">
        <v>742</v>
      </c>
      <c r="O3" s="472" t="s">
        <v>739</v>
      </c>
    </row>
    <row r="4">
      <c r="A4" s="473" t="s">
        <v>745</v>
      </c>
      <c r="B4" s="474"/>
      <c r="C4" s="475">
        <v>1.0</v>
      </c>
      <c r="D4" s="476" t="s">
        <v>746</v>
      </c>
      <c r="E4" s="477" t="b">
        <v>1</v>
      </c>
      <c r="F4" s="466"/>
      <c r="G4" s="478">
        <v>1.0</v>
      </c>
      <c r="H4" s="478">
        <v>1.0</v>
      </c>
      <c r="I4" s="478" t="s">
        <v>747</v>
      </c>
      <c r="J4" s="478" t="s">
        <v>414</v>
      </c>
      <c r="K4" s="477" t="b">
        <v>1</v>
      </c>
      <c r="L4" s="479"/>
      <c r="M4" s="478" t="s">
        <v>748</v>
      </c>
      <c r="N4" s="480" t="s">
        <v>749</v>
      </c>
      <c r="O4" s="478" t="s">
        <v>414</v>
      </c>
    </row>
    <row r="5">
      <c r="A5" s="473" t="s">
        <v>750</v>
      </c>
      <c r="B5" s="474"/>
      <c r="C5" s="475">
        <v>2.0</v>
      </c>
      <c r="D5" s="476" t="s">
        <v>751</v>
      </c>
      <c r="E5" s="477" t="b">
        <v>1</v>
      </c>
      <c r="F5" s="466"/>
      <c r="G5" s="478">
        <v>2.0</v>
      </c>
      <c r="H5" s="478">
        <v>2.0</v>
      </c>
      <c r="I5" s="478" t="s">
        <v>752</v>
      </c>
      <c r="J5" s="478" t="s">
        <v>751</v>
      </c>
      <c r="K5" s="477" t="b">
        <v>1</v>
      </c>
      <c r="L5" s="479"/>
      <c r="M5" s="478" t="s">
        <v>753</v>
      </c>
      <c r="N5" s="480" t="s">
        <v>754</v>
      </c>
      <c r="O5" s="478" t="s">
        <v>751</v>
      </c>
    </row>
    <row r="6">
      <c r="A6" s="473" t="s">
        <v>755</v>
      </c>
      <c r="B6" s="474"/>
      <c r="C6" s="475">
        <v>3.0</v>
      </c>
      <c r="D6" s="476" t="s">
        <v>416</v>
      </c>
      <c r="E6" s="477" t="b">
        <v>1</v>
      </c>
      <c r="F6" s="466"/>
      <c r="G6" s="478">
        <v>3.0</v>
      </c>
      <c r="H6" s="478">
        <v>3.0</v>
      </c>
      <c r="I6" s="478" t="s">
        <v>756</v>
      </c>
      <c r="J6" s="478" t="s">
        <v>416</v>
      </c>
      <c r="K6" s="477" t="b">
        <v>1</v>
      </c>
      <c r="L6" s="479"/>
      <c r="M6" s="478" t="s">
        <v>757</v>
      </c>
      <c r="N6" s="480" t="s">
        <v>758</v>
      </c>
      <c r="O6" s="478" t="s">
        <v>416</v>
      </c>
    </row>
    <row r="7">
      <c r="A7" s="473" t="s">
        <v>759</v>
      </c>
      <c r="B7" s="474"/>
      <c r="C7" s="475">
        <v>4.0</v>
      </c>
      <c r="D7" s="476" t="s">
        <v>417</v>
      </c>
      <c r="E7" s="477" t="b">
        <v>1</v>
      </c>
      <c r="F7" s="466"/>
      <c r="G7" s="478">
        <v>4.0</v>
      </c>
      <c r="H7" s="478">
        <v>4.0</v>
      </c>
      <c r="I7" s="478" t="s">
        <v>760</v>
      </c>
      <c r="J7" s="478" t="s">
        <v>417</v>
      </c>
      <c r="K7" s="477" t="b">
        <v>1</v>
      </c>
      <c r="L7" s="479"/>
      <c r="M7" s="478" t="s">
        <v>761</v>
      </c>
      <c r="N7" s="480" t="s">
        <v>762</v>
      </c>
      <c r="O7" s="478" t="s">
        <v>417</v>
      </c>
    </row>
    <row r="8">
      <c r="A8" s="473" t="s">
        <v>763</v>
      </c>
      <c r="B8" s="481"/>
      <c r="C8" s="475">
        <v>5.0</v>
      </c>
      <c r="D8" s="473" t="s">
        <v>764</v>
      </c>
      <c r="E8" s="477" t="b">
        <v>0</v>
      </c>
      <c r="F8" s="466"/>
      <c r="G8" s="482">
        <v>5.0</v>
      </c>
      <c r="H8" s="482"/>
      <c r="I8" s="482"/>
      <c r="J8" s="482"/>
      <c r="K8" s="477" t="b">
        <v>0</v>
      </c>
      <c r="L8" s="479"/>
      <c r="M8" s="482" t="s">
        <v>765</v>
      </c>
      <c r="N8" s="482"/>
      <c r="O8" s="482"/>
    </row>
    <row r="9">
      <c r="A9" s="473" t="s">
        <v>766</v>
      </c>
      <c r="B9" s="481"/>
      <c r="C9" s="475">
        <v>6.0</v>
      </c>
      <c r="D9" s="483"/>
      <c r="E9" s="477" t="b">
        <v>0</v>
      </c>
      <c r="F9" s="466"/>
      <c r="G9" s="484">
        <v>6.0</v>
      </c>
      <c r="H9" s="485"/>
      <c r="I9" s="485"/>
      <c r="J9" s="485"/>
      <c r="K9" s="477" t="b">
        <v>0</v>
      </c>
      <c r="L9" s="479"/>
      <c r="M9" s="484" t="s">
        <v>767</v>
      </c>
      <c r="N9" s="485"/>
      <c r="O9" s="485"/>
      <c r="R9" s="486"/>
    </row>
    <row r="10">
      <c r="A10" s="485"/>
      <c r="B10" s="487"/>
      <c r="C10" s="488">
        <v>7.0</v>
      </c>
      <c r="D10" s="485"/>
      <c r="E10" s="477" t="b">
        <v>0</v>
      </c>
      <c r="F10" s="466"/>
      <c r="G10" s="489">
        <v>7.0</v>
      </c>
      <c r="H10" s="490"/>
      <c r="I10" s="490"/>
      <c r="J10" s="490"/>
      <c r="K10" s="477" t="b">
        <v>0</v>
      </c>
      <c r="L10" s="479"/>
      <c r="M10" s="491"/>
      <c r="N10" s="491"/>
      <c r="O10" s="491"/>
      <c r="Q10" s="486"/>
    </row>
    <row r="11">
      <c r="A11" s="485"/>
      <c r="B11" s="487"/>
      <c r="C11" s="488">
        <v>8.0</v>
      </c>
      <c r="D11" s="485"/>
      <c r="E11" s="477" t="b">
        <v>0</v>
      </c>
      <c r="F11" s="466"/>
      <c r="G11" s="492">
        <v>8.0</v>
      </c>
      <c r="H11" s="493">
        <v>14.0</v>
      </c>
      <c r="I11" s="493" t="s">
        <v>768</v>
      </c>
      <c r="J11" s="494" t="s">
        <v>769</v>
      </c>
      <c r="K11" s="477" t="b">
        <v>1</v>
      </c>
      <c r="L11" s="479"/>
      <c r="M11" s="491"/>
      <c r="N11" s="491"/>
      <c r="O11" s="491"/>
      <c r="R11" s="495"/>
    </row>
    <row r="12">
      <c r="A12" s="485"/>
      <c r="B12" s="487"/>
      <c r="C12" s="488">
        <v>9.0</v>
      </c>
      <c r="D12" s="485"/>
      <c r="E12" s="477" t="b">
        <v>0</v>
      </c>
      <c r="F12" s="466"/>
      <c r="G12" s="496">
        <v>9.0</v>
      </c>
      <c r="H12" s="493">
        <v>15.0</v>
      </c>
      <c r="I12" s="493" t="s">
        <v>770</v>
      </c>
      <c r="J12" s="496" t="s">
        <v>771</v>
      </c>
      <c r="K12" s="477" t="b">
        <v>1</v>
      </c>
      <c r="L12" s="479"/>
      <c r="M12" s="491"/>
      <c r="N12" s="491"/>
      <c r="O12" s="491"/>
    </row>
    <row r="13">
      <c r="A13" s="485"/>
      <c r="B13" s="487"/>
      <c r="C13" s="488">
        <v>10.0</v>
      </c>
      <c r="D13" s="485"/>
      <c r="E13" s="477" t="b">
        <v>0</v>
      </c>
      <c r="F13" s="466"/>
      <c r="G13" s="492">
        <v>10.0</v>
      </c>
      <c r="H13" s="493">
        <v>5.0</v>
      </c>
      <c r="I13" s="493" t="s">
        <v>772</v>
      </c>
      <c r="J13" s="496" t="s">
        <v>764</v>
      </c>
      <c r="K13" s="477" t="b">
        <v>1</v>
      </c>
      <c r="L13" s="479"/>
      <c r="M13" s="491"/>
      <c r="N13" s="491"/>
      <c r="O13" s="491"/>
      <c r="Q13" s="486"/>
    </row>
    <row r="14">
      <c r="A14" s="485"/>
      <c r="B14" s="487"/>
      <c r="C14" s="488">
        <v>11.0</v>
      </c>
      <c r="D14" s="485"/>
      <c r="E14" s="477" t="b">
        <v>0</v>
      </c>
      <c r="F14" s="466"/>
      <c r="G14" s="496">
        <v>11.0</v>
      </c>
      <c r="H14" s="493">
        <v>5.0</v>
      </c>
      <c r="I14" s="493" t="s">
        <v>773</v>
      </c>
      <c r="J14" s="496" t="s">
        <v>764</v>
      </c>
      <c r="K14" s="477" t="b">
        <v>1</v>
      </c>
      <c r="L14" s="479"/>
      <c r="M14" s="466"/>
      <c r="N14" s="467" t="s">
        <v>774</v>
      </c>
      <c r="O14" s="69"/>
      <c r="R14" s="495"/>
    </row>
    <row r="15">
      <c r="A15" s="497" t="s">
        <v>775</v>
      </c>
      <c r="B15" s="498"/>
      <c r="C15" s="499">
        <v>12.0</v>
      </c>
      <c r="D15" s="497" t="s">
        <v>776</v>
      </c>
      <c r="E15" s="477" t="b">
        <v>1</v>
      </c>
      <c r="F15" s="466"/>
      <c r="G15" s="484">
        <v>12.0</v>
      </c>
      <c r="H15" s="485"/>
      <c r="I15" s="485"/>
      <c r="J15" s="485"/>
      <c r="K15" s="477" t="b">
        <v>0</v>
      </c>
      <c r="L15" s="479"/>
      <c r="M15" s="466"/>
      <c r="N15" s="483"/>
      <c r="O15" s="484" t="s">
        <v>777</v>
      </c>
    </row>
    <row r="16">
      <c r="A16" s="500" t="s">
        <v>778</v>
      </c>
      <c r="B16" s="501"/>
      <c r="C16" s="502">
        <v>13.0</v>
      </c>
      <c r="D16" s="500" t="s">
        <v>779</v>
      </c>
      <c r="E16" s="477" t="b">
        <v>1</v>
      </c>
      <c r="F16" s="466"/>
      <c r="G16" s="482">
        <v>13.0</v>
      </c>
      <c r="H16" s="485"/>
      <c r="I16" s="485"/>
      <c r="J16" s="485"/>
      <c r="K16" s="477" t="b">
        <v>0</v>
      </c>
      <c r="L16" s="479"/>
      <c r="M16" s="466"/>
      <c r="N16" s="503"/>
      <c r="O16" s="484" t="s">
        <v>780</v>
      </c>
    </row>
    <row r="17">
      <c r="A17" s="504" t="s">
        <v>781</v>
      </c>
      <c r="B17" s="505"/>
      <c r="C17" s="506">
        <v>14.0</v>
      </c>
      <c r="D17" s="504" t="s">
        <v>782</v>
      </c>
      <c r="E17" s="477" t="b">
        <v>1</v>
      </c>
      <c r="F17" s="466"/>
      <c r="G17" s="482">
        <v>14.0</v>
      </c>
      <c r="H17" s="485"/>
      <c r="I17" s="485"/>
      <c r="J17" s="485"/>
      <c r="K17" s="477" t="b">
        <v>0</v>
      </c>
      <c r="L17" s="479"/>
      <c r="M17" s="466"/>
      <c r="N17" s="507"/>
      <c r="O17" s="484" t="s">
        <v>783</v>
      </c>
    </row>
    <row r="18">
      <c r="A18" s="500" t="s">
        <v>784</v>
      </c>
      <c r="B18" s="501"/>
      <c r="C18" s="502">
        <v>15.0</v>
      </c>
      <c r="D18" s="500" t="s">
        <v>785</v>
      </c>
      <c r="E18" s="477" t="b">
        <v>1</v>
      </c>
      <c r="F18" s="466"/>
      <c r="G18" s="482">
        <v>15.0</v>
      </c>
      <c r="H18" s="485"/>
      <c r="I18" s="485"/>
      <c r="J18" s="485"/>
      <c r="K18" s="477" t="b">
        <v>0</v>
      </c>
      <c r="L18" s="479"/>
      <c r="M18" s="466"/>
      <c r="N18" s="508"/>
      <c r="O18" s="484" t="s">
        <v>786</v>
      </c>
    </row>
    <row r="19">
      <c r="A19" s="484"/>
      <c r="B19" s="509"/>
      <c r="C19" s="488">
        <v>16.0</v>
      </c>
      <c r="D19" s="484"/>
      <c r="E19" s="477" t="b">
        <v>0</v>
      </c>
      <c r="F19" s="466"/>
      <c r="G19" s="482">
        <v>16.0</v>
      </c>
      <c r="H19" s="485"/>
      <c r="I19" s="485"/>
      <c r="J19" s="485"/>
      <c r="K19" s="477" t="b">
        <v>0</v>
      </c>
      <c r="L19" s="479"/>
      <c r="M19" s="466"/>
      <c r="N19" s="510"/>
      <c r="O19" s="511" t="s">
        <v>787</v>
      </c>
    </row>
    <row r="20">
      <c r="A20" s="485"/>
      <c r="B20" s="487"/>
      <c r="C20" s="488">
        <v>17.0</v>
      </c>
      <c r="D20" s="485"/>
      <c r="E20" s="477" t="b">
        <v>0</v>
      </c>
      <c r="F20" s="466"/>
      <c r="G20" s="512">
        <v>17.0</v>
      </c>
      <c r="H20" s="513">
        <v>5.0</v>
      </c>
      <c r="I20" s="513" t="s">
        <v>800</v>
      </c>
      <c r="J20" s="513" t="s">
        <v>764</v>
      </c>
      <c r="K20" s="477" t="b">
        <v>0</v>
      </c>
      <c r="L20" s="479"/>
      <c r="M20" s="466"/>
      <c r="N20" s="514"/>
      <c r="O20" s="484" t="s">
        <v>789</v>
      </c>
    </row>
    <row r="21">
      <c r="A21" s="485"/>
      <c r="B21" s="487"/>
      <c r="C21" s="488">
        <v>18.0</v>
      </c>
      <c r="D21" s="485"/>
      <c r="E21" s="477" t="b">
        <v>0</v>
      </c>
      <c r="F21" s="466"/>
      <c r="G21" s="515">
        <v>18.0</v>
      </c>
      <c r="H21" s="516">
        <v>5.0</v>
      </c>
      <c r="I21" s="516" t="s">
        <v>801</v>
      </c>
      <c r="J21" s="516" t="s">
        <v>764</v>
      </c>
      <c r="K21" s="477" t="b">
        <v>0</v>
      </c>
      <c r="L21" s="479"/>
      <c r="M21" s="491"/>
      <c r="N21" s="517"/>
      <c r="O21" s="484" t="s">
        <v>791</v>
      </c>
    </row>
    <row r="22">
      <c r="A22" s="485"/>
      <c r="B22" s="487"/>
      <c r="C22" s="488">
        <v>19.0</v>
      </c>
      <c r="D22" s="485"/>
      <c r="E22" s="477" t="b">
        <v>0</v>
      </c>
      <c r="F22" s="466"/>
      <c r="G22" s="512">
        <v>19.0</v>
      </c>
      <c r="H22" s="518" t="s">
        <v>792</v>
      </c>
      <c r="I22" s="513" t="s">
        <v>802</v>
      </c>
      <c r="J22" s="518" t="s">
        <v>794</v>
      </c>
      <c r="K22" s="477" t="b">
        <v>0</v>
      </c>
      <c r="L22" s="519" t="b">
        <v>0</v>
      </c>
      <c r="M22" s="491"/>
      <c r="N22" s="520"/>
      <c r="O22" s="482" t="s">
        <v>795</v>
      </c>
    </row>
    <row r="23">
      <c r="A23" s="485"/>
      <c r="B23" s="487"/>
      <c r="C23" s="488">
        <v>20.0</v>
      </c>
      <c r="D23" s="485"/>
      <c r="E23" s="477" t="b">
        <v>0</v>
      </c>
      <c r="F23" s="491"/>
      <c r="G23" s="512">
        <v>20.0</v>
      </c>
      <c r="H23" s="518" t="s">
        <v>796</v>
      </c>
      <c r="I23" s="513" t="s">
        <v>803</v>
      </c>
      <c r="J23" s="518" t="s">
        <v>798</v>
      </c>
      <c r="K23" s="477" t="b">
        <v>0</v>
      </c>
      <c r="L23" s="519" t="b">
        <v>0</v>
      </c>
      <c r="M23" s="491"/>
      <c r="N23" s="491"/>
      <c r="O23" s="491"/>
    </row>
  </sheetData>
  <mergeCells count="5">
    <mergeCell ref="A1:O1"/>
    <mergeCell ref="A2:E2"/>
    <mergeCell ref="G2:K2"/>
    <mergeCell ref="M2:O2"/>
    <mergeCell ref="N14:O14"/>
  </mergeCells>
  <conditionalFormatting sqref="E4:E23 K4:K23">
    <cfRule type="cellIs" dxfId="5" priority="1" operator="equal">
      <formula>"True"</formula>
    </cfRule>
  </conditionalFormatting>
  <conditionalFormatting sqref="E4:E23 K4:K23">
    <cfRule type="cellIs" dxfId="9" priority="2" operator="equal">
      <formula>"False"</formula>
    </cfRule>
  </conditionalFormatting>
  <conditionalFormatting sqref="L22:L23">
    <cfRule type="cellIs" dxfId="5" priority="3" operator="equal">
      <formula>"TRUE"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.25"/>
    <col customWidth="1" min="3" max="3" width="12.0"/>
    <col customWidth="1" min="5" max="5" width="7.13"/>
    <col customWidth="1" min="6" max="6" width="6.0"/>
    <col customWidth="1" min="9" max="9" width="16.63"/>
    <col customWidth="1" min="10" max="10" width="15.25"/>
    <col customWidth="1" min="11" max="11" width="7.25"/>
    <col customWidth="1" min="12" max="12" width="7.5"/>
    <col customWidth="1" min="14" max="14" width="12.88"/>
    <col customWidth="1" min="15" max="15" width="13.75"/>
  </cols>
  <sheetData>
    <row r="1">
      <c r="A1" s="522" t="s">
        <v>804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4"/>
    </row>
    <row r="2">
      <c r="A2" s="464" t="s">
        <v>734</v>
      </c>
      <c r="B2" s="465"/>
      <c r="C2" s="465"/>
      <c r="D2" s="465"/>
      <c r="E2" s="69"/>
      <c r="F2" s="466"/>
      <c r="G2" s="467" t="s">
        <v>735</v>
      </c>
      <c r="H2" s="465"/>
      <c r="I2" s="465"/>
      <c r="J2" s="465"/>
      <c r="K2" s="69"/>
      <c r="L2" s="468"/>
      <c r="M2" s="467" t="s">
        <v>736</v>
      </c>
      <c r="N2" s="465"/>
      <c r="O2" s="69"/>
    </row>
    <row r="3">
      <c r="A3" s="469" t="s">
        <v>737</v>
      </c>
      <c r="B3" s="469"/>
      <c r="C3" s="470" t="s">
        <v>738</v>
      </c>
      <c r="D3" s="469" t="s">
        <v>739</v>
      </c>
      <c r="E3" s="471" t="s">
        <v>740</v>
      </c>
      <c r="F3" s="466"/>
      <c r="G3" s="472" t="s">
        <v>741</v>
      </c>
      <c r="H3" s="470" t="s">
        <v>738</v>
      </c>
      <c r="I3" s="469" t="s">
        <v>742</v>
      </c>
      <c r="J3" s="472" t="s">
        <v>739</v>
      </c>
      <c r="K3" s="471" t="s">
        <v>740</v>
      </c>
      <c r="L3" s="468" t="s">
        <v>743</v>
      </c>
      <c r="M3" s="472" t="s">
        <v>744</v>
      </c>
      <c r="N3" s="469" t="s">
        <v>742</v>
      </c>
      <c r="O3" s="472" t="s">
        <v>739</v>
      </c>
    </row>
    <row r="4">
      <c r="A4" s="473" t="s">
        <v>745</v>
      </c>
      <c r="B4" s="474"/>
      <c r="C4" s="475">
        <v>1.0</v>
      </c>
      <c r="D4" s="476" t="s">
        <v>746</v>
      </c>
      <c r="E4" s="477" t="b">
        <v>1</v>
      </c>
      <c r="F4" s="466"/>
      <c r="G4" s="478">
        <v>1.0</v>
      </c>
      <c r="H4" s="478">
        <v>1.0</v>
      </c>
      <c r="I4" s="478" t="s">
        <v>747</v>
      </c>
      <c r="J4" s="478" t="s">
        <v>414</v>
      </c>
      <c r="K4" s="477" t="b">
        <v>1</v>
      </c>
      <c r="L4" s="479"/>
      <c r="M4" s="478" t="s">
        <v>748</v>
      </c>
      <c r="N4" s="480" t="s">
        <v>749</v>
      </c>
      <c r="O4" s="478" t="s">
        <v>414</v>
      </c>
    </row>
    <row r="5">
      <c r="A5" s="473" t="s">
        <v>750</v>
      </c>
      <c r="B5" s="474"/>
      <c r="C5" s="475">
        <v>2.0</v>
      </c>
      <c r="D5" s="476" t="s">
        <v>751</v>
      </c>
      <c r="E5" s="477" t="b">
        <v>1</v>
      </c>
      <c r="F5" s="466"/>
      <c r="G5" s="478">
        <v>2.0</v>
      </c>
      <c r="H5" s="478">
        <v>2.0</v>
      </c>
      <c r="I5" s="478" t="s">
        <v>752</v>
      </c>
      <c r="J5" s="478" t="s">
        <v>751</v>
      </c>
      <c r="K5" s="477" t="b">
        <v>1</v>
      </c>
      <c r="L5" s="479"/>
      <c r="M5" s="478" t="s">
        <v>753</v>
      </c>
      <c r="N5" s="480" t="s">
        <v>754</v>
      </c>
      <c r="O5" s="478" t="s">
        <v>751</v>
      </c>
    </row>
    <row r="6">
      <c r="A6" s="473" t="s">
        <v>755</v>
      </c>
      <c r="B6" s="474"/>
      <c r="C6" s="475">
        <v>3.0</v>
      </c>
      <c r="D6" s="476" t="s">
        <v>416</v>
      </c>
      <c r="E6" s="477" t="b">
        <v>1</v>
      </c>
      <c r="F6" s="466"/>
      <c r="G6" s="478">
        <v>3.0</v>
      </c>
      <c r="H6" s="478">
        <v>3.0</v>
      </c>
      <c r="I6" s="478" t="s">
        <v>756</v>
      </c>
      <c r="J6" s="478" t="s">
        <v>416</v>
      </c>
      <c r="K6" s="477" t="b">
        <v>1</v>
      </c>
      <c r="L6" s="479"/>
      <c r="M6" s="478" t="s">
        <v>757</v>
      </c>
      <c r="N6" s="480" t="s">
        <v>758</v>
      </c>
      <c r="O6" s="478" t="s">
        <v>416</v>
      </c>
    </row>
    <row r="7">
      <c r="A7" s="473" t="s">
        <v>759</v>
      </c>
      <c r="B7" s="474"/>
      <c r="C7" s="475">
        <v>4.0</v>
      </c>
      <c r="D7" s="476" t="s">
        <v>417</v>
      </c>
      <c r="E7" s="477" t="b">
        <v>1</v>
      </c>
      <c r="F7" s="466"/>
      <c r="G7" s="478">
        <v>4.0</v>
      </c>
      <c r="H7" s="478">
        <v>4.0</v>
      </c>
      <c r="I7" s="478" t="s">
        <v>760</v>
      </c>
      <c r="J7" s="478" t="s">
        <v>417</v>
      </c>
      <c r="K7" s="477" t="b">
        <v>1</v>
      </c>
      <c r="L7" s="479"/>
      <c r="M7" s="478" t="s">
        <v>761</v>
      </c>
      <c r="N7" s="480" t="s">
        <v>762</v>
      </c>
      <c r="O7" s="478" t="s">
        <v>417</v>
      </c>
    </row>
    <row r="8">
      <c r="A8" s="473" t="s">
        <v>763</v>
      </c>
      <c r="B8" s="481"/>
      <c r="C8" s="475">
        <v>5.0</v>
      </c>
      <c r="D8" s="473" t="s">
        <v>764</v>
      </c>
      <c r="E8" s="477" t="b">
        <v>0</v>
      </c>
      <c r="F8" s="466"/>
      <c r="G8" s="482">
        <v>5.0</v>
      </c>
      <c r="H8" s="482"/>
      <c r="I8" s="482"/>
      <c r="J8" s="482"/>
      <c r="K8" s="477" t="b">
        <v>0</v>
      </c>
      <c r="L8" s="479"/>
      <c r="M8" s="482" t="s">
        <v>765</v>
      </c>
      <c r="N8" s="482"/>
      <c r="O8" s="482"/>
    </row>
    <row r="9">
      <c r="A9" s="473" t="s">
        <v>766</v>
      </c>
      <c r="B9" s="481"/>
      <c r="C9" s="475">
        <v>6.0</v>
      </c>
      <c r="D9" s="483"/>
      <c r="E9" s="477" t="b">
        <v>0</v>
      </c>
      <c r="F9" s="466"/>
      <c r="G9" s="484">
        <v>6.0</v>
      </c>
      <c r="H9" s="485"/>
      <c r="I9" s="485"/>
      <c r="J9" s="485"/>
      <c r="K9" s="477" t="b">
        <v>0</v>
      </c>
      <c r="L9" s="479"/>
      <c r="M9" s="484" t="s">
        <v>767</v>
      </c>
      <c r="N9" s="485"/>
      <c r="O9" s="485"/>
      <c r="R9" s="486"/>
    </row>
    <row r="10">
      <c r="A10" s="485"/>
      <c r="B10" s="487"/>
      <c r="C10" s="488">
        <v>7.0</v>
      </c>
      <c r="D10" s="485"/>
      <c r="E10" s="477" t="b">
        <v>0</v>
      </c>
      <c r="F10" s="466"/>
      <c r="G10" s="489">
        <v>7.0</v>
      </c>
      <c r="H10" s="490"/>
      <c r="I10" s="490"/>
      <c r="J10" s="490"/>
      <c r="K10" s="477" t="b">
        <v>0</v>
      </c>
      <c r="L10" s="479"/>
      <c r="M10" s="491"/>
      <c r="N10" s="491"/>
      <c r="O10" s="491"/>
      <c r="Q10" s="486"/>
    </row>
    <row r="11">
      <c r="A11" s="485"/>
      <c r="B11" s="487"/>
      <c r="C11" s="488">
        <v>8.0</v>
      </c>
      <c r="D11" s="485"/>
      <c r="E11" s="477" t="b">
        <v>0</v>
      </c>
      <c r="F11" s="466"/>
      <c r="G11" s="492">
        <v>8.0</v>
      </c>
      <c r="H11" s="493">
        <v>14.0</v>
      </c>
      <c r="I11" s="493" t="s">
        <v>768</v>
      </c>
      <c r="J11" s="494" t="s">
        <v>769</v>
      </c>
      <c r="K11" s="477" t="b">
        <v>1</v>
      </c>
      <c r="L11" s="479"/>
      <c r="M11" s="491"/>
      <c r="N11" s="491"/>
      <c r="O11" s="491"/>
      <c r="R11" s="495"/>
    </row>
    <row r="12">
      <c r="A12" s="485"/>
      <c r="B12" s="487"/>
      <c r="C12" s="488">
        <v>9.0</v>
      </c>
      <c r="D12" s="485"/>
      <c r="E12" s="477" t="b">
        <v>0</v>
      </c>
      <c r="F12" s="466"/>
      <c r="G12" s="496">
        <v>9.0</v>
      </c>
      <c r="H12" s="493">
        <v>15.0</v>
      </c>
      <c r="I12" s="493" t="s">
        <v>770</v>
      </c>
      <c r="J12" s="496" t="s">
        <v>771</v>
      </c>
      <c r="K12" s="477" t="b">
        <v>1</v>
      </c>
      <c r="L12" s="479"/>
      <c r="M12" s="491"/>
      <c r="N12" s="491"/>
      <c r="O12" s="491"/>
    </row>
    <row r="13">
      <c r="A13" s="485"/>
      <c r="B13" s="487"/>
      <c r="C13" s="488">
        <v>10.0</v>
      </c>
      <c r="D13" s="485"/>
      <c r="E13" s="477" t="b">
        <v>0</v>
      </c>
      <c r="F13" s="466"/>
      <c r="G13" s="492">
        <v>10.0</v>
      </c>
      <c r="H13" s="493">
        <v>5.0</v>
      </c>
      <c r="I13" s="493" t="s">
        <v>772</v>
      </c>
      <c r="J13" s="496" t="s">
        <v>764</v>
      </c>
      <c r="K13" s="477" t="b">
        <v>1</v>
      </c>
      <c r="L13" s="479"/>
      <c r="M13" s="491"/>
      <c r="N13" s="491"/>
      <c r="O13" s="491"/>
      <c r="Q13" s="486"/>
    </row>
    <row r="14">
      <c r="A14" s="485"/>
      <c r="B14" s="487"/>
      <c r="C14" s="488">
        <v>11.0</v>
      </c>
      <c r="D14" s="485"/>
      <c r="E14" s="477" t="b">
        <v>0</v>
      </c>
      <c r="F14" s="466"/>
      <c r="G14" s="496">
        <v>11.0</v>
      </c>
      <c r="H14" s="493">
        <v>5.0</v>
      </c>
      <c r="I14" s="493" t="s">
        <v>773</v>
      </c>
      <c r="J14" s="496" t="s">
        <v>764</v>
      </c>
      <c r="K14" s="477" t="b">
        <v>1</v>
      </c>
      <c r="L14" s="479"/>
      <c r="M14" s="466"/>
      <c r="N14" s="467" t="s">
        <v>774</v>
      </c>
      <c r="O14" s="69"/>
      <c r="R14" s="495"/>
    </row>
    <row r="15">
      <c r="A15" s="497" t="s">
        <v>775</v>
      </c>
      <c r="B15" s="498"/>
      <c r="C15" s="499">
        <v>12.0</v>
      </c>
      <c r="D15" s="497" t="s">
        <v>776</v>
      </c>
      <c r="E15" s="477" t="b">
        <v>1</v>
      </c>
      <c r="F15" s="466"/>
      <c r="G15" s="484">
        <v>12.0</v>
      </c>
      <c r="H15" s="485"/>
      <c r="I15" s="485"/>
      <c r="J15" s="485"/>
      <c r="K15" s="477" t="b">
        <v>0</v>
      </c>
      <c r="L15" s="479"/>
      <c r="M15" s="466"/>
      <c r="N15" s="483"/>
      <c r="O15" s="484" t="s">
        <v>777</v>
      </c>
    </row>
    <row r="16">
      <c r="A16" s="500" t="s">
        <v>778</v>
      </c>
      <c r="B16" s="501"/>
      <c r="C16" s="502">
        <v>13.0</v>
      </c>
      <c r="D16" s="500" t="s">
        <v>779</v>
      </c>
      <c r="E16" s="477" t="b">
        <v>1</v>
      </c>
      <c r="F16" s="466"/>
      <c r="G16" s="482">
        <v>13.0</v>
      </c>
      <c r="H16" s="485"/>
      <c r="I16" s="485"/>
      <c r="J16" s="485"/>
      <c r="K16" s="477" t="b">
        <v>0</v>
      </c>
      <c r="L16" s="479"/>
      <c r="M16" s="466"/>
      <c r="N16" s="503"/>
      <c r="O16" s="484" t="s">
        <v>780</v>
      </c>
    </row>
    <row r="17">
      <c r="A17" s="504" t="s">
        <v>781</v>
      </c>
      <c r="B17" s="505"/>
      <c r="C17" s="506">
        <v>14.0</v>
      </c>
      <c r="D17" s="504" t="s">
        <v>782</v>
      </c>
      <c r="E17" s="477" t="b">
        <v>1</v>
      </c>
      <c r="F17" s="466"/>
      <c r="G17" s="482">
        <v>14.0</v>
      </c>
      <c r="H17" s="485"/>
      <c r="I17" s="485"/>
      <c r="J17" s="485"/>
      <c r="K17" s="477" t="b">
        <v>0</v>
      </c>
      <c r="L17" s="479"/>
      <c r="M17" s="466"/>
      <c r="N17" s="507"/>
      <c r="O17" s="484" t="s">
        <v>783</v>
      </c>
    </row>
    <row r="18">
      <c r="A18" s="500" t="s">
        <v>784</v>
      </c>
      <c r="B18" s="501"/>
      <c r="C18" s="502">
        <v>15.0</v>
      </c>
      <c r="D18" s="500" t="s">
        <v>785</v>
      </c>
      <c r="E18" s="477" t="b">
        <v>1</v>
      </c>
      <c r="F18" s="466"/>
      <c r="G18" s="482">
        <v>15.0</v>
      </c>
      <c r="H18" s="485"/>
      <c r="I18" s="485"/>
      <c r="J18" s="485"/>
      <c r="K18" s="477" t="b">
        <v>0</v>
      </c>
      <c r="L18" s="479"/>
      <c r="M18" s="466"/>
      <c r="N18" s="508"/>
      <c r="O18" s="484" t="s">
        <v>786</v>
      </c>
    </row>
    <row r="19">
      <c r="A19" s="484"/>
      <c r="B19" s="509"/>
      <c r="C19" s="488">
        <v>16.0</v>
      </c>
      <c r="D19" s="484"/>
      <c r="E19" s="477" t="b">
        <v>0</v>
      </c>
      <c r="F19" s="466"/>
      <c r="G19" s="482">
        <v>16.0</v>
      </c>
      <c r="H19" s="485"/>
      <c r="I19" s="485"/>
      <c r="J19" s="485"/>
      <c r="K19" s="477" t="b">
        <v>0</v>
      </c>
      <c r="L19" s="479"/>
      <c r="M19" s="466"/>
      <c r="N19" s="510"/>
      <c r="O19" s="511" t="s">
        <v>787</v>
      </c>
    </row>
    <row r="20">
      <c r="A20" s="485"/>
      <c r="B20" s="487"/>
      <c r="C20" s="488">
        <v>17.0</v>
      </c>
      <c r="D20" s="485"/>
      <c r="E20" s="477" t="b">
        <v>0</v>
      </c>
      <c r="F20" s="466"/>
      <c r="G20" s="512">
        <v>17.0</v>
      </c>
      <c r="H20" s="513">
        <v>5.0</v>
      </c>
      <c r="I20" s="513" t="s">
        <v>805</v>
      </c>
      <c r="J20" s="513" t="s">
        <v>764</v>
      </c>
      <c r="K20" s="477" t="b">
        <v>0</v>
      </c>
      <c r="L20" s="479"/>
      <c r="M20" s="466"/>
      <c r="N20" s="514"/>
      <c r="O20" s="484" t="s">
        <v>789</v>
      </c>
    </row>
    <row r="21">
      <c r="A21" s="485"/>
      <c r="B21" s="487"/>
      <c r="C21" s="488">
        <v>18.0</v>
      </c>
      <c r="D21" s="485"/>
      <c r="E21" s="477" t="b">
        <v>0</v>
      </c>
      <c r="F21" s="466"/>
      <c r="G21" s="515">
        <v>18.0</v>
      </c>
      <c r="H21" s="516">
        <v>5.0</v>
      </c>
      <c r="I21" s="516" t="s">
        <v>806</v>
      </c>
      <c r="J21" s="516" t="s">
        <v>764</v>
      </c>
      <c r="K21" s="477" t="b">
        <v>0</v>
      </c>
      <c r="L21" s="479"/>
      <c r="M21" s="491"/>
      <c r="N21" s="517"/>
      <c r="O21" s="484" t="s">
        <v>791</v>
      </c>
    </row>
    <row r="22">
      <c r="A22" s="485"/>
      <c r="B22" s="487"/>
      <c r="C22" s="488">
        <v>19.0</v>
      </c>
      <c r="D22" s="485"/>
      <c r="E22" s="477" t="b">
        <v>0</v>
      </c>
      <c r="F22" s="466"/>
      <c r="G22" s="512">
        <v>19.0</v>
      </c>
      <c r="H22" s="518" t="s">
        <v>792</v>
      </c>
      <c r="I22" s="513" t="s">
        <v>807</v>
      </c>
      <c r="J22" s="518" t="s">
        <v>794</v>
      </c>
      <c r="K22" s="477" t="b">
        <v>0</v>
      </c>
      <c r="L22" s="519" t="b">
        <v>0</v>
      </c>
      <c r="M22" s="491"/>
      <c r="N22" s="520"/>
      <c r="O22" s="482" t="s">
        <v>795</v>
      </c>
    </row>
    <row r="23">
      <c r="A23" s="485"/>
      <c r="B23" s="487"/>
      <c r="C23" s="488">
        <v>20.0</v>
      </c>
      <c r="D23" s="485"/>
      <c r="E23" s="477" t="b">
        <v>0</v>
      </c>
      <c r="F23" s="491"/>
      <c r="G23" s="512">
        <v>20.0</v>
      </c>
      <c r="H23" s="518" t="s">
        <v>796</v>
      </c>
      <c r="I23" s="513" t="s">
        <v>808</v>
      </c>
      <c r="J23" s="518" t="s">
        <v>798</v>
      </c>
      <c r="K23" s="477" t="b">
        <v>0</v>
      </c>
      <c r="L23" s="519" t="b">
        <v>0</v>
      </c>
      <c r="M23" s="491"/>
      <c r="N23" s="491"/>
      <c r="O23" s="491"/>
    </row>
  </sheetData>
  <mergeCells count="5">
    <mergeCell ref="A1:O1"/>
    <mergeCell ref="A2:E2"/>
    <mergeCell ref="G2:K2"/>
    <mergeCell ref="M2:O2"/>
    <mergeCell ref="N14:O14"/>
  </mergeCells>
  <conditionalFormatting sqref="E4:E23 K4:K23">
    <cfRule type="cellIs" dxfId="5" priority="1" operator="equal">
      <formula>"True"</formula>
    </cfRule>
  </conditionalFormatting>
  <conditionalFormatting sqref="E4:E23 K4:K23">
    <cfRule type="cellIs" dxfId="9" priority="2" operator="equal">
      <formula>"False"</formula>
    </cfRule>
  </conditionalFormatting>
  <conditionalFormatting sqref="L22:L23">
    <cfRule type="cellIs" dxfId="5" priority="3" operator="equal">
      <formula>"TRUE"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.25"/>
    <col customWidth="1" min="3" max="3" width="12.0"/>
    <col customWidth="1" min="5" max="5" width="7.13"/>
    <col customWidth="1" min="6" max="6" width="6.0"/>
    <col customWidth="1" min="9" max="9" width="16.63"/>
    <col customWidth="1" min="10" max="10" width="15.25"/>
    <col customWidth="1" min="11" max="11" width="7.25"/>
    <col customWidth="1" min="12" max="12" width="7.5"/>
    <col customWidth="1" min="14" max="14" width="12.88"/>
    <col customWidth="1" min="15" max="15" width="13.75"/>
  </cols>
  <sheetData>
    <row r="1">
      <c r="A1" s="523" t="s">
        <v>809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4"/>
    </row>
    <row r="2">
      <c r="A2" s="464" t="s">
        <v>734</v>
      </c>
      <c r="B2" s="465"/>
      <c r="C2" s="465"/>
      <c r="D2" s="465"/>
      <c r="E2" s="69"/>
      <c r="F2" s="466"/>
      <c r="G2" s="467" t="s">
        <v>735</v>
      </c>
      <c r="H2" s="465"/>
      <c r="I2" s="465"/>
      <c r="J2" s="465"/>
      <c r="K2" s="69"/>
      <c r="L2" s="468"/>
      <c r="M2" s="467" t="s">
        <v>736</v>
      </c>
      <c r="N2" s="465"/>
      <c r="O2" s="69"/>
    </row>
    <row r="3">
      <c r="A3" s="469" t="s">
        <v>737</v>
      </c>
      <c r="B3" s="469"/>
      <c r="C3" s="470" t="s">
        <v>738</v>
      </c>
      <c r="D3" s="469" t="s">
        <v>739</v>
      </c>
      <c r="E3" s="471" t="s">
        <v>740</v>
      </c>
      <c r="F3" s="466"/>
      <c r="G3" s="472" t="s">
        <v>741</v>
      </c>
      <c r="H3" s="470" t="s">
        <v>738</v>
      </c>
      <c r="I3" s="469" t="s">
        <v>742</v>
      </c>
      <c r="J3" s="472" t="s">
        <v>739</v>
      </c>
      <c r="K3" s="471" t="s">
        <v>740</v>
      </c>
      <c r="L3" s="468" t="s">
        <v>743</v>
      </c>
      <c r="M3" s="472" t="s">
        <v>744</v>
      </c>
      <c r="N3" s="469" t="s">
        <v>742</v>
      </c>
      <c r="O3" s="472" t="s">
        <v>739</v>
      </c>
    </row>
    <row r="4">
      <c r="A4" s="473" t="s">
        <v>745</v>
      </c>
      <c r="B4" s="474"/>
      <c r="C4" s="475">
        <v>1.0</v>
      </c>
      <c r="D4" s="476" t="s">
        <v>746</v>
      </c>
      <c r="E4" s="477" t="b">
        <v>1</v>
      </c>
      <c r="F4" s="466"/>
      <c r="G4" s="478">
        <v>1.0</v>
      </c>
      <c r="H4" s="478">
        <v>1.0</v>
      </c>
      <c r="I4" s="478" t="s">
        <v>747</v>
      </c>
      <c r="J4" s="478" t="s">
        <v>414</v>
      </c>
      <c r="K4" s="477" t="b">
        <v>1</v>
      </c>
      <c r="L4" s="479"/>
      <c r="M4" s="478" t="s">
        <v>748</v>
      </c>
      <c r="N4" s="480" t="s">
        <v>749</v>
      </c>
      <c r="O4" s="478" t="s">
        <v>414</v>
      </c>
    </row>
    <row r="5">
      <c r="A5" s="473" t="s">
        <v>750</v>
      </c>
      <c r="B5" s="474"/>
      <c r="C5" s="475">
        <v>2.0</v>
      </c>
      <c r="D5" s="476" t="s">
        <v>751</v>
      </c>
      <c r="E5" s="477" t="b">
        <v>1</v>
      </c>
      <c r="F5" s="466"/>
      <c r="G5" s="478">
        <v>2.0</v>
      </c>
      <c r="H5" s="478">
        <v>2.0</v>
      </c>
      <c r="I5" s="478" t="s">
        <v>752</v>
      </c>
      <c r="J5" s="478" t="s">
        <v>751</v>
      </c>
      <c r="K5" s="477" t="b">
        <v>1</v>
      </c>
      <c r="L5" s="479"/>
      <c r="M5" s="478" t="s">
        <v>753</v>
      </c>
      <c r="N5" s="480" t="s">
        <v>754</v>
      </c>
      <c r="O5" s="478" t="s">
        <v>751</v>
      </c>
    </row>
    <row r="6">
      <c r="A6" s="473" t="s">
        <v>755</v>
      </c>
      <c r="B6" s="474"/>
      <c r="C6" s="475">
        <v>3.0</v>
      </c>
      <c r="D6" s="476" t="s">
        <v>416</v>
      </c>
      <c r="E6" s="477" t="b">
        <v>1</v>
      </c>
      <c r="F6" s="466"/>
      <c r="G6" s="478">
        <v>3.0</v>
      </c>
      <c r="H6" s="478">
        <v>3.0</v>
      </c>
      <c r="I6" s="478" t="s">
        <v>756</v>
      </c>
      <c r="J6" s="478" t="s">
        <v>416</v>
      </c>
      <c r="K6" s="477" t="b">
        <v>1</v>
      </c>
      <c r="L6" s="479"/>
      <c r="M6" s="478" t="s">
        <v>757</v>
      </c>
      <c r="N6" s="480" t="s">
        <v>758</v>
      </c>
      <c r="O6" s="478" t="s">
        <v>416</v>
      </c>
    </row>
    <row r="7">
      <c r="A7" s="473" t="s">
        <v>759</v>
      </c>
      <c r="B7" s="474"/>
      <c r="C7" s="475">
        <v>4.0</v>
      </c>
      <c r="D7" s="476" t="s">
        <v>417</v>
      </c>
      <c r="E7" s="477" t="b">
        <v>1</v>
      </c>
      <c r="F7" s="466"/>
      <c r="G7" s="478">
        <v>4.0</v>
      </c>
      <c r="H7" s="478">
        <v>4.0</v>
      </c>
      <c r="I7" s="478" t="s">
        <v>760</v>
      </c>
      <c r="J7" s="478" t="s">
        <v>417</v>
      </c>
      <c r="K7" s="477" t="b">
        <v>1</v>
      </c>
      <c r="L7" s="479"/>
      <c r="M7" s="478" t="s">
        <v>761</v>
      </c>
      <c r="N7" s="480" t="s">
        <v>762</v>
      </c>
      <c r="O7" s="478" t="s">
        <v>417</v>
      </c>
    </row>
    <row r="8">
      <c r="A8" s="473" t="s">
        <v>763</v>
      </c>
      <c r="B8" s="481"/>
      <c r="C8" s="475">
        <v>5.0</v>
      </c>
      <c r="D8" s="473" t="s">
        <v>764</v>
      </c>
      <c r="E8" s="477" t="b">
        <v>0</v>
      </c>
      <c r="F8" s="466"/>
      <c r="G8" s="482">
        <v>5.0</v>
      </c>
      <c r="H8" s="482"/>
      <c r="I8" s="482"/>
      <c r="J8" s="482"/>
      <c r="K8" s="477" t="b">
        <v>0</v>
      </c>
      <c r="L8" s="479"/>
      <c r="M8" s="482" t="s">
        <v>765</v>
      </c>
      <c r="N8" s="482"/>
      <c r="O8" s="482"/>
    </row>
    <row r="9">
      <c r="A9" s="473" t="s">
        <v>766</v>
      </c>
      <c r="B9" s="481"/>
      <c r="C9" s="475">
        <v>6.0</v>
      </c>
      <c r="D9" s="483"/>
      <c r="E9" s="477" t="b">
        <v>0</v>
      </c>
      <c r="F9" s="466"/>
      <c r="G9" s="484">
        <v>6.0</v>
      </c>
      <c r="H9" s="485"/>
      <c r="I9" s="485"/>
      <c r="J9" s="485"/>
      <c r="K9" s="477" t="b">
        <v>0</v>
      </c>
      <c r="L9" s="479"/>
      <c r="M9" s="484" t="s">
        <v>767</v>
      </c>
      <c r="N9" s="485"/>
      <c r="O9" s="485"/>
      <c r="R9" s="486"/>
    </row>
    <row r="10">
      <c r="A10" s="485"/>
      <c r="B10" s="487"/>
      <c r="C10" s="488">
        <v>7.0</v>
      </c>
      <c r="D10" s="485"/>
      <c r="E10" s="477" t="b">
        <v>0</v>
      </c>
      <c r="F10" s="466"/>
      <c r="G10" s="489">
        <v>7.0</v>
      </c>
      <c r="H10" s="490"/>
      <c r="I10" s="490"/>
      <c r="J10" s="490"/>
      <c r="K10" s="477" t="b">
        <v>0</v>
      </c>
      <c r="L10" s="479"/>
      <c r="M10" s="491"/>
      <c r="N10" s="491"/>
      <c r="O10" s="491"/>
      <c r="Q10" s="486"/>
    </row>
    <row r="11">
      <c r="A11" s="485"/>
      <c r="B11" s="487"/>
      <c r="C11" s="488">
        <v>8.0</v>
      </c>
      <c r="D11" s="485"/>
      <c r="E11" s="477" t="b">
        <v>0</v>
      </c>
      <c r="F11" s="466"/>
      <c r="G11" s="492">
        <v>8.0</v>
      </c>
      <c r="H11" s="493">
        <v>14.0</v>
      </c>
      <c r="I11" s="493" t="s">
        <v>768</v>
      </c>
      <c r="J11" s="494" t="s">
        <v>769</v>
      </c>
      <c r="K11" s="477" t="b">
        <v>1</v>
      </c>
      <c r="L11" s="479"/>
      <c r="M11" s="491"/>
      <c r="N11" s="491"/>
      <c r="O11" s="491"/>
      <c r="R11" s="495"/>
    </row>
    <row r="12">
      <c r="A12" s="485"/>
      <c r="B12" s="487"/>
      <c r="C12" s="488">
        <v>9.0</v>
      </c>
      <c r="D12" s="485"/>
      <c r="E12" s="477" t="b">
        <v>0</v>
      </c>
      <c r="F12" s="466"/>
      <c r="G12" s="496">
        <v>9.0</v>
      </c>
      <c r="H12" s="493">
        <v>15.0</v>
      </c>
      <c r="I12" s="493" t="s">
        <v>770</v>
      </c>
      <c r="J12" s="496" t="s">
        <v>771</v>
      </c>
      <c r="K12" s="477" t="b">
        <v>1</v>
      </c>
      <c r="L12" s="479"/>
      <c r="M12" s="491"/>
      <c r="N12" s="491"/>
      <c r="O12" s="491"/>
    </row>
    <row r="13">
      <c r="A13" s="485"/>
      <c r="B13" s="487"/>
      <c r="C13" s="488">
        <v>10.0</v>
      </c>
      <c r="D13" s="485"/>
      <c r="E13" s="477" t="b">
        <v>0</v>
      </c>
      <c r="F13" s="466"/>
      <c r="G13" s="492">
        <v>10.0</v>
      </c>
      <c r="H13" s="493">
        <v>5.0</v>
      </c>
      <c r="I13" s="493" t="s">
        <v>772</v>
      </c>
      <c r="J13" s="496" t="s">
        <v>764</v>
      </c>
      <c r="K13" s="477" t="b">
        <v>1</v>
      </c>
      <c r="L13" s="479"/>
      <c r="M13" s="491"/>
      <c r="N13" s="491"/>
      <c r="O13" s="491"/>
      <c r="Q13" s="486"/>
    </row>
    <row r="14">
      <c r="A14" s="485"/>
      <c r="B14" s="487"/>
      <c r="C14" s="488">
        <v>11.0</v>
      </c>
      <c r="D14" s="485"/>
      <c r="E14" s="477" t="b">
        <v>0</v>
      </c>
      <c r="F14" s="466"/>
      <c r="G14" s="496">
        <v>11.0</v>
      </c>
      <c r="H14" s="493">
        <v>5.0</v>
      </c>
      <c r="I14" s="493" t="s">
        <v>773</v>
      </c>
      <c r="J14" s="496" t="s">
        <v>764</v>
      </c>
      <c r="K14" s="477" t="b">
        <v>1</v>
      </c>
      <c r="L14" s="479"/>
      <c r="M14" s="466"/>
      <c r="N14" s="467" t="s">
        <v>774</v>
      </c>
      <c r="O14" s="69"/>
      <c r="R14" s="495"/>
    </row>
    <row r="15">
      <c r="A15" s="497" t="s">
        <v>775</v>
      </c>
      <c r="B15" s="498"/>
      <c r="C15" s="499">
        <v>12.0</v>
      </c>
      <c r="D15" s="497" t="s">
        <v>776</v>
      </c>
      <c r="E15" s="477" t="b">
        <v>1</v>
      </c>
      <c r="F15" s="466"/>
      <c r="G15" s="484">
        <v>12.0</v>
      </c>
      <c r="H15" s="485"/>
      <c r="I15" s="485"/>
      <c r="J15" s="485"/>
      <c r="K15" s="477" t="b">
        <v>0</v>
      </c>
      <c r="L15" s="479"/>
      <c r="M15" s="466"/>
      <c r="N15" s="483"/>
      <c r="O15" s="484" t="s">
        <v>777</v>
      </c>
    </row>
    <row r="16">
      <c r="A16" s="500" t="s">
        <v>778</v>
      </c>
      <c r="B16" s="501"/>
      <c r="C16" s="502">
        <v>13.0</v>
      </c>
      <c r="D16" s="500" t="s">
        <v>779</v>
      </c>
      <c r="E16" s="477" t="b">
        <v>1</v>
      </c>
      <c r="F16" s="466"/>
      <c r="G16" s="482">
        <v>13.0</v>
      </c>
      <c r="H16" s="485"/>
      <c r="I16" s="485"/>
      <c r="J16" s="485"/>
      <c r="K16" s="477" t="b">
        <v>0</v>
      </c>
      <c r="L16" s="479"/>
      <c r="M16" s="466"/>
      <c r="N16" s="503"/>
      <c r="O16" s="484" t="s">
        <v>780</v>
      </c>
    </row>
    <row r="17">
      <c r="A17" s="504" t="s">
        <v>781</v>
      </c>
      <c r="B17" s="505"/>
      <c r="C17" s="506">
        <v>14.0</v>
      </c>
      <c r="D17" s="504" t="s">
        <v>782</v>
      </c>
      <c r="E17" s="477" t="b">
        <v>1</v>
      </c>
      <c r="F17" s="466"/>
      <c r="G17" s="482">
        <v>14.0</v>
      </c>
      <c r="H17" s="485"/>
      <c r="I17" s="485"/>
      <c r="J17" s="485"/>
      <c r="K17" s="477" t="b">
        <v>0</v>
      </c>
      <c r="L17" s="479"/>
      <c r="M17" s="466"/>
      <c r="N17" s="507"/>
      <c r="O17" s="484" t="s">
        <v>783</v>
      </c>
    </row>
    <row r="18">
      <c r="A18" s="500" t="s">
        <v>784</v>
      </c>
      <c r="B18" s="501"/>
      <c r="C18" s="502">
        <v>15.0</v>
      </c>
      <c r="D18" s="500" t="s">
        <v>785</v>
      </c>
      <c r="E18" s="477" t="b">
        <v>1</v>
      </c>
      <c r="F18" s="466"/>
      <c r="G18" s="482">
        <v>15.0</v>
      </c>
      <c r="H18" s="485"/>
      <c r="I18" s="485"/>
      <c r="J18" s="485"/>
      <c r="K18" s="477" t="b">
        <v>0</v>
      </c>
      <c r="L18" s="479"/>
      <c r="M18" s="466"/>
      <c r="N18" s="508"/>
      <c r="O18" s="484" t="s">
        <v>786</v>
      </c>
    </row>
    <row r="19">
      <c r="A19" s="484"/>
      <c r="B19" s="509"/>
      <c r="C19" s="488">
        <v>16.0</v>
      </c>
      <c r="D19" s="484"/>
      <c r="E19" s="477" t="b">
        <v>0</v>
      </c>
      <c r="F19" s="466"/>
      <c r="G19" s="482">
        <v>16.0</v>
      </c>
      <c r="H19" s="485"/>
      <c r="I19" s="485"/>
      <c r="J19" s="485"/>
      <c r="K19" s="477" t="b">
        <v>0</v>
      </c>
      <c r="L19" s="479"/>
      <c r="M19" s="466"/>
      <c r="N19" s="510"/>
      <c r="O19" s="511" t="s">
        <v>787</v>
      </c>
    </row>
    <row r="20">
      <c r="A20" s="485"/>
      <c r="B20" s="487"/>
      <c r="C20" s="488">
        <v>17.0</v>
      </c>
      <c r="D20" s="485"/>
      <c r="E20" s="477" t="b">
        <v>0</v>
      </c>
      <c r="F20" s="466"/>
      <c r="G20" s="512">
        <v>17.0</v>
      </c>
      <c r="H20" s="513">
        <v>5.0</v>
      </c>
      <c r="I20" s="513" t="s">
        <v>810</v>
      </c>
      <c r="J20" s="513" t="s">
        <v>764</v>
      </c>
      <c r="K20" s="477" t="b">
        <v>0</v>
      </c>
      <c r="L20" s="479"/>
      <c r="M20" s="466"/>
      <c r="N20" s="514"/>
      <c r="O20" s="484" t="s">
        <v>789</v>
      </c>
    </row>
    <row r="21">
      <c r="A21" s="485"/>
      <c r="B21" s="487"/>
      <c r="C21" s="488">
        <v>18.0</v>
      </c>
      <c r="D21" s="485"/>
      <c r="E21" s="477" t="b">
        <v>0</v>
      </c>
      <c r="F21" s="466"/>
      <c r="G21" s="515">
        <v>18.0</v>
      </c>
      <c r="H21" s="516">
        <v>5.0</v>
      </c>
      <c r="I21" s="516" t="s">
        <v>811</v>
      </c>
      <c r="J21" s="516" t="s">
        <v>764</v>
      </c>
      <c r="K21" s="477" t="b">
        <v>0</v>
      </c>
      <c r="L21" s="479"/>
      <c r="M21" s="491"/>
      <c r="N21" s="517"/>
      <c r="O21" s="484" t="s">
        <v>791</v>
      </c>
    </row>
    <row r="22">
      <c r="A22" s="485"/>
      <c r="B22" s="487"/>
      <c r="C22" s="488">
        <v>19.0</v>
      </c>
      <c r="D22" s="485"/>
      <c r="E22" s="477" t="b">
        <v>0</v>
      </c>
      <c r="F22" s="466"/>
      <c r="G22" s="512">
        <v>19.0</v>
      </c>
      <c r="H22" s="518" t="s">
        <v>792</v>
      </c>
      <c r="I22" s="513" t="s">
        <v>812</v>
      </c>
      <c r="J22" s="518" t="s">
        <v>794</v>
      </c>
      <c r="K22" s="477" t="b">
        <v>0</v>
      </c>
      <c r="L22" s="519" t="b">
        <v>0</v>
      </c>
      <c r="M22" s="491"/>
      <c r="N22" s="520"/>
      <c r="O22" s="482" t="s">
        <v>795</v>
      </c>
    </row>
    <row r="23">
      <c r="A23" s="485"/>
      <c r="B23" s="487"/>
      <c r="C23" s="488">
        <v>20.0</v>
      </c>
      <c r="D23" s="485"/>
      <c r="E23" s="477" t="b">
        <v>0</v>
      </c>
      <c r="F23" s="491"/>
      <c r="G23" s="512">
        <v>20.0</v>
      </c>
      <c r="H23" s="518" t="s">
        <v>796</v>
      </c>
      <c r="I23" s="513" t="s">
        <v>813</v>
      </c>
      <c r="J23" s="518" t="s">
        <v>798</v>
      </c>
      <c r="K23" s="477" t="b">
        <v>0</v>
      </c>
      <c r="L23" s="519" t="b">
        <v>0</v>
      </c>
      <c r="M23" s="491"/>
      <c r="N23" s="491"/>
      <c r="O23" s="491"/>
    </row>
  </sheetData>
  <mergeCells count="5">
    <mergeCell ref="A1:O1"/>
    <mergeCell ref="A2:E2"/>
    <mergeCell ref="G2:K2"/>
    <mergeCell ref="M2:O2"/>
    <mergeCell ref="N14:O14"/>
  </mergeCells>
  <conditionalFormatting sqref="E4:E23 K4:K23">
    <cfRule type="cellIs" dxfId="5" priority="1" operator="equal">
      <formula>"True"</formula>
    </cfRule>
  </conditionalFormatting>
  <conditionalFormatting sqref="E4:E23 K4:K23">
    <cfRule type="cellIs" dxfId="9" priority="2" operator="equal">
      <formula>"False"</formula>
    </cfRule>
  </conditionalFormatting>
  <conditionalFormatting sqref="L22:L23">
    <cfRule type="cellIs" dxfId="5" priority="3" operator="equal">
      <formula>"TRUE"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.25"/>
    <col customWidth="1" min="3" max="3" width="12.0"/>
    <col customWidth="1" min="5" max="5" width="7.13"/>
    <col customWidth="1" min="6" max="6" width="6.0"/>
    <col customWidth="1" min="9" max="9" width="16.63"/>
    <col customWidth="1" min="10" max="10" width="15.25"/>
    <col customWidth="1" min="11" max="11" width="7.25"/>
    <col customWidth="1" min="12" max="12" width="7.5"/>
    <col customWidth="1" min="14" max="14" width="12.88"/>
    <col customWidth="1" min="15" max="15" width="13.75"/>
  </cols>
  <sheetData>
    <row r="1">
      <c r="A1" s="524" t="s">
        <v>814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4"/>
    </row>
    <row r="2">
      <c r="A2" s="464" t="s">
        <v>734</v>
      </c>
      <c r="B2" s="465"/>
      <c r="C2" s="465"/>
      <c r="D2" s="465"/>
      <c r="E2" s="69"/>
      <c r="F2" s="466"/>
      <c r="G2" s="467" t="s">
        <v>735</v>
      </c>
      <c r="H2" s="465"/>
      <c r="I2" s="465"/>
      <c r="J2" s="465"/>
      <c r="K2" s="69"/>
      <c r="L2" s="468"/>
      <c r="M2" s="467" t="s">
        <v>736</v>
      </c>
      <c r="N2" s="465"/>
      <c r="O2" s="69"/>
    </row>
    <row r="3">
      <c r="A3" s="469" t="s">
        <v>737</v>
      </c>
      <c r="B3" s="469"/>
      <c r="C3" s="470" t="s">
        <v>738</v>
      </c>
      <c r="D3" s="469" t="s">
        <v>739</v>
      </c>
      <c r="E3" s="471" t="s">
        <v>740</v>
      </c>
      <c r="F3" s="466"/>
      <c r="G3" s="472" t="s">
        <v>741</v>
      </c>
      <c r="H3" s="470" t="s">
        <v>738</v>
      </c>
      <c r="I3" s="469" t="s">
        <v>742</v>
      </c>
      <c r="J3" s="472" t="s">
        <v>739</v>
      </c>
      <c r="K3" s="471" t="s">
        <v>740</v>
      </c>
      <c r="L3" s="468" t="s">
        <v>743</v>
      </c>
      <c r="M3" s="472" t="s">
        <v>744</v>
      </c>
      <c r="N3" s="469" t="s">
        <v>742</v>
      </c>
      <c r="O3" s="472" t="s">
        <v>739</v>
      </c>
    </row>
    <row r="4">
      <c r="A4" s="473" t="s">
        <v>745</v>
      </c>
      <c r="B4" s="474"/>
      <c r="C4" s="475">
        <v>1.0</v>
      </c>
      <c r="D4" s="476" t="s">
        <v>746</v>
      </c>
      <c r="E4" s="477" t="b">
        <v>1</v>
      </c>
      <c r="F4" s="466"/>
      <c r="G4" s="478">
        <v>1.0</v>
      </c>
      <c r="H4" s="478">
        <v>1.0</v>
      </c>
      <c r="I4" s="478" t="s">
        <v>747</v>
      </c>
      <c r="J4" s="478" t="s">
        <v>414</v>
      </c>
      <c r="K4" s="477" t="b">
        <v>1</v>
      </c>
      <c r="L4" s="479"/>
      <c r="M4" s="478" t="s">
        <v>748</v>
      </c>
      <c r="N4" s="480" t="s">
        <v>749</v>
      </c>
      <c r="O4" s="478" t="s">
        <v>414</v>
      </c>
    </row>
    <row r="5">
      <c r="A5" s="473" t="s">
        <v>750</v>
      </c>
      <c r="B5" s="474"/>
      <c r="C5" s="475">
        <v>2.0</v>
      </c>
      <c r="D5" s="476" t="s">
        <v>751</v>
      </c>
      <c r="E5" s="477" t="b">
        <v>1</v>
      </c>
      <c r="F5" s="466"/>
      <c r="G5" s="478">
        <v>2.0</v>
      </c>
      <c r="H5" s="478">
        <v>2.0</v>
      </c>
      <c r="I5" s="478" t="s">
        <v>752</v>
      </c>
      <c r="J5" s="478" t="s">
        <v>751</v>
      </c>
      <c r="K5" s="477" t="b">
        <v>1</v>
      </c>
      <c r="L5" s="479"/>
      <c r="M5" s="478" t="s">
        <v>753</v>
      </c>
      <c r="N5" s="480" t="s">
        <v>754</v>
      </c>
      <c r="O5" s="478" t="s">
        <v>751</v>
      </c>
    </row>
    <row r="6">
      <c r="A6" s="473" t="s">
        <v>755</v>
      </c>
      <c r="B6" s="474"/>
      <c r="C6" s="475">
        <v>3.0</v>
      </c>
      <c r="D6" s="476" t="s">
        <v>416</v>
      </c>
      <c r="E6" s="477" t="b">
        <v>1</v>
      </c>
      <c r="F6" s="466"/>
      <c r="G6" s="478">
        <v>3.0</v>
      </c>
      <c r="H6" s="478">
        <v>3.0</v>
      </c>
      <c r="I6" s="478" t="s">
        <v>756</v>
      </c>
      <c r="J6" s="478" t="s">
        <v>416</v>
      </c>
      <c r="K6" s="477" t="b">
        <v>1</v>
      </c>
      <c r="L6" s="479"/>
      <c r="M6" s="478" t="s">
        <v>757</v>
      </c>
      <c r="N6" s="480" t="s">
        <v>758</v>
      </c>
      <c r="O6" s="478" t="s">
        <v>416</v>
      </c>
    </row>
    <row r="7">
      <c r="A7" s="473" t="s">
        <v>759</v>
      </c>
      <c r="B7" s="474"/>
      <c r="C7" s="475">
        <v>4.0</v>
      </c>
      <c r="D7" s="476" t="s">
        <v>417</v>
      </c>
      <c r="E7" s="477" t="b">
        <v>1</v>
      </c>
      <c r="F7" s="466"/>
      <c r="G7" s="478">
        <v>4.0</v>
      </c>
      <c r="H7" s="478">
        <v>4.0</v>
      </c>
      <c r="I7" s="478" t="s">
        <v>760</v>
      </c>
      <c r="J7" s="478" t="s">
        <v>417</v>
      </c>
      <c r="K7" s="477" t="b">
        <v>1</v>
      </c>
      <c r="L7" s="479"/>
      <c r="M7" s="478" t="s">
        <v>761</v>
      </c>
      <c r="N7" s="480" t="s">
        <v>762</v>
      </c>
      <c r="O7" s="478" t="s">
        <v>417</v>
      </c>
    </row>
    <row r="8">
      <c r="A8" s="473" t="s">
        <v>763</v>
      </c>
      <c r="B8" s="481"/>
      <c r="C8" s="475">
        <v>5.0</v>
      </c>
      <c r="D8" s="473" t="s">
        <v>764</v>
      </c>
      <c r="E8" s="477" t="b">
        <v>0</v>
      </c>
      <c r="F8" s="466"/>
      <c r="G8" s="482">
        <v>5.0</v>
      </c>
      <c r="H8" s="482"/>
      <c r="I8" s="482"/>
      <c r="J8" s="482"/>
      <c r="K8" s="477" t="b">
        <v>0</v>
      </c>
      <c r="L8" s="479"/>
      <c r="M8" s="482" t="s">
        <v>765</v>
      </c>
      <c r="N8" s="482"/>
      <c r="O8" s="482"/>
    </row>
    <row r="9">
      <c r="A9" s="473" t="s">
        <v>766</v>
      </c>
      <c r="B9" s="481"/>
      <c r="C9" s="475">
        <v>6.0</v>
      </c>
      <c r="D9" s="483"/>
      <c r="E9" s="477" t="b">
        <v>0</v>
      </c>
      <c r="F9" s="466"/>
      <c r="G9" s="484">
        <v>6.0</v>
      </c>
      <c r="H9" s="485"/>
      <c r="I9" s="485"/>
      <c r="J9" s="485"/>
      <c r="K9" s="477" t="b">
        <v>0</v>
      </c>
      <c r="L9" s="479"/>
      <c r="M9" s="484" t="s">
        <v>767</v>
      </c>
      <c r="N9" s="485"/>
      <c r="O9" s="485"/>
      <c r="R9" s="486"/>
    </row>
    <row r="10">
      <c r="A10" s="485"/>
      <c r="B10" s="487"/>
      <c r="C10" s="488">
        <v>7.0</v>
      </c>
      <c r="D10" s="485"/>
      <c r="E10" s="477" t="b">
        <v>0</v>
      </c>
      <c r="F10" s="466"/>
      <c r="G10" s="489">
        <v>7.0</v>
      </c>
      <c r="H10" s="490"/>
      <c r="I10" s="490"/>
      <c r="J10" s="490"/>
      <c r="K10" s="477" t="b">
        <v>0</v>
      </c>
      <c r="L10" s="479"/>
      <c r="M10" s="491"/>
      <c r="N10" s="491"/>
      <c r="O10" s="491"/>
      <c r="Q10" s="486"/>
    </row>
    <row r="11">
      <c r="A11" s="485"/>
      <c r="B11" s="487"/>
      <c r="C11" s="488">
        <v>8.0</v>
      </c>
      <c r="D11" s="485"/>
      <c r="E11" s="477" t="b">
        <v>0</v>
      </c>
      <c r="F11" s="466"/>
      <c r="G11" s="492">
        <v>8.0</v>
      </c>
      <c r="H11" s="493">
        <v>14.0</v>
      </c>
      <c r="I11" s="493" t="s">
        <v>768</v>
      </c>
      <c r="J11" s="494" t="s">
        <v>769</v>
      </c>
      <c r="K11" s="477" t="b">
        <v>1</v>
      </c>
      <c r="L11" s="479"/>
      <c r="M11" s="491"/>
      <c r="N11" s="491"/>
      <c r="O11" s="491"/>
      <c r="R11" s="495"/>
    </row>
    <row r="12">
      <c r="A12" s="485"/>
      <c r="B12" s="487"/>
      <c r="C12" s="488">
        <v>9.0</v>
      </c>
      <c r="D12" s="485"/>
      <c r="E12" s="477" t="b">
        <v>0</v>
      </c>
      <c r="F12" s="466"/>
      <c r="G12" s="496">
        <v>9.0</v>
      </c>
      <c r="H12" s="493">
        <v>15.0</v>
      </c>
      <c r="I12" s="493" t="s">
        <v>770</v>
      </c>
      <c r="J12" s="496" t="s">
        <v>771</v>
      </c>
      <c r="K12" s="477" t="b">
        <v>1</v>
      </c>
      <c r="L12" s="479"/>
      <c r="M12" s="491"/>
      <c r="N12" s="491"/>
      <c r="O12" s="491"/>
    </row>
    <row r="13">
      <c r="A13" s="485"/>
      <c r="B13" s="487"/>
      <c r="C13" s="488">
        <v>10.0</v>
      </c>
      <c r="D13" s="485"/>
      <c r="E13" s="477" t="b">
        <v>0</v>
      </c>
      <c r="F13" s="466"/>
      <c r="G13" s="492">
        <v>10.0</v>
      </c>
      <c r="H13" s="493">
        <v>5.0</v>
      </c>
      <c r="I13" s="493" t="s">
        <v>772</v>
      </c>
      <c r="J13" s="496" t="s">
        <v>764</v>
      </c>
      <c r="K13" s="477" t="b">
        <v>1</v>
      </c>
      <c r="L13" s="479"/>
      <c r="M13" s="491"/>
      <c r="N13" s="491"/>
      <c r="O13" s="491"/>
      <c r="Q13" s="486"/>
    </row>
    <row r="14">
      <c r="A14" s="485"/>
      <c r="B14" s="487"/>
      <c r="C14" s="488">
        <v>11.0</v>
      </c>
      <c r="D14" s="485"/>
      <c r="E14" s="477" t="b">
        <v>0</v>
      </c>
      <c r="F14" s="466"/>
      <c r="G14" s="496">
        <v>11.0</v>
      </c>
      <c r="H14" s="493">
        <v>5.0</v>
      </c>
      <c r="I14" s="493" t="s">
        <v>773</v>
      </c>
      <c r="J14" s="496" t="s">
        <v>764</v>
      </c>
      <c r="K14" s="477" t="b">
        <v>1</v>
      </c>
      <c r="L14" s="479"/>
      <c r="M14" s="466"/>
      <c r="N14" s="467" t="s">
        <v>774</v>
      </c>
      <c r="O14" s="69"/>
      <c r="R14" s="495"/>
    </row>
    <row r="15">
      <c r="A15" s="497" t="s">
        <v>775</v>
      </c>
      <c r="B15" s="498"/>
      <c r="C15" s="499">
        <v>12.0</v>
      </c>
      <c r="D15" s="497" t="s">
        <v>776</v>
      </c>
      <c r="E15" s="477" t="b">
        <v>1</v>
      </c>
      <c r="F15" s="466"/>
      <c r="G15" s="484">
        <v>12.0</v>
      </c>
      <c r="H15" s="485"/>
      <c r="I15" s="485"/>
      <c r="J15" s="485"/>
      <c r="K15" s="477" t="b">
        <v>0</v>
      </c>
      <c r="L15" s="479"/>
      <c r="M15" s="466"/>
      <c r="N15" s="483"/>
      <c r="O15" s="484" t="s">
        <v>777</v>
      </c>
    </row>
    <row r="16">
      <c r="A16" s="500" t="s">
        <v>778</v>
      </c>
      <c r="B16" s="501"/>
      <c r="C16" s="502">
        <v>13.0</v>
      </c>
      <c r="D16" s="500" t="s">
        <v>779</v>
      </c>
      <c r="E16" s="477" t="b">
        <v>1</v>
      </c>
      <c r="F16" s="466"/>
      <c r="G16" s="482">
        <v>13.0</v>
      </c>
      <c r="H16" s="485"/>
      <c r="I16" s="485"/>
      <c r="J16" s="485"/>
      <c r="K16" s="477" t="b">
        <v>0</v>
      </c>
      <c r="L16" s="479"/>
      <c r="M16" s="466"/>
      <c r="N16" s="503"/>
      <c r="O16" s="484" t="s">
        <v>780</v>
      </c>
    </row>
    <row r="17">
      <c r="A17" s="504" t="s">
        <v>781</v>
      </c>
      <c r="B17" s="505"/>
      <c r="C17" s="506">
        <v>14.0</v>
      </c>
      <c r="D17" s="504" t="s">
        <v>782</v>
      </c>
      <c r="E17" s="477" t="b">
        <v>1</v>
      </c>
      <c r="F17" s="466"/>
      <c r="G17" s="482">
        <v>14.0</v>
      </c>
      <c r="H17" s="485"/>
      <c r="I17" s="485"/>
      <c r="J17" s="485"/>
      <c r="K17" s="477" t="b">
        <v>0</v>
      </c>
      <c r="L17" s="479"/>
      <c r="M17" s="466"/>
      <c r="N17" s="507"/>
      <c r="O17" s="484" t="s">
        <v>783</v>
      </c>
    </row>
    <row r="18">
      <c r="A18" s="500" t="s">
        <v>784</v>
      </c>
      <c r="B18" s="501"/>
      <c r="C18" s="502">
        <v>15.0</v>
      </c>
      <c r="D18" s="500" t="s">
        <v>785</v>
      </c>
      <c r="E18" s="477" t="b">
        <v>1</v>
      </c>
      <c r="F18" s="466"/>
      <c r="G18" s="482">
        <v>15.0</v>
      </c>
      <c r="H18" s="485"/>
      <c r="I18" s="485"/>
      <c r="J18" s="485"/>
      <c r="K18" s="477" t="b">
        <v>0</v>
      </c>
      <c r="L18" s="479"/>
      <c r="M18" s="466"/>
      <c r="N18" s="508"/>
      <c r="O18" s="484" t="s">
        <v>786</v>
      </c>
    </row>
    <row r="19">
      <c r="A19" s="484"/>
      <c r="B19" s="509"/>
      <c r="C19" s="488">
        <v>16.0</v>
      </c>
      <c r="D19" s="484"/>
      <c r="E19" s="477" t="b">
        <v>0</v>
      </c>
      <c r="F19" s="466"/>
      <c r="G19" s="482">
        <v>16.0</v>
      </c>
      <c r="H19" s="485"/>
      <c r="I19" s="485"/>
      <c r="J19" s="485"/>
      <c r="K19" s="477" t="b">
        <v>0</v>
      </c>
      <c r="L19" s="479"/>
      <c r="M19" s="466"/>
      <c r="N19" s="510"/>
      <c r="O19" s="511" t="s">
        <v>787</v>
      </c>
    </row>
    <row r="20">
      <c r="A20" s="485"/>
      <c r="B20" s="487"/>
      <c r="C20" s="488">
        <v>17.0</v>
      </c>
      <c r="D20" s="485"/>
      <c r="E20" s="477" t="b">
        <v>0</v>
      </c>
      <c r="F20" s="466"/>
      <c r="G20" s="512">
        <v>17.0</v>
      </c>
      <c r="H20" s="513">
        <v>5.0</v>
      </c>
      <c r="I20" s="513" t="s">
        <v>815</v>
      </c>
      <c r="J20" s="513" t="s">
        <v>764</v>
      </c>
      <c r="K20" s="477" t="b">
        <v>0</v>
      </c>
      <c r="L20" s="479"/>
      <c r="M20" s="466"/>
      <c r="N20" s="514"/>
      <c r="O20" s="484" t="s">
        <v>789</v>
      </c>
    </row>
    <row r="21">
      <c r="A21" s="485"/>
      <c r="B21" s="487"/>
      <c r="C21" s="488">
        <v>18.0</v>
      </c>
      <c r="D21" s="485"/>
      <c r="E21" s="477" t="b">
        <v>0</v>
      </c>
      <c r="F21" s="466"/>
      <c r="G21" s="515">
        <v>18.0</v>
      </c>
      <c r="H21" s="516">
        <v>5.0</v>
      </c>
      <c r="I21" s="516" t="s">
        <v>816</v>
      </c>
      <c r="J21" s="516" t="s">
        <v>764</v>
      </c>
      <c r="K21" s="477" t="b">
        <v>0</v>
      </c>
      <c r="L21" s="479"/>
      <c r="M21" s="491"/>
      <c r="N21" s="517"/>
      <c r="O21" s="484" t="s">
        <v>791</v>
      </c>
    </row>
    <row r="22">
      <c r="A22" s="485"/>
      <c r="B22" s="487"/>
      <c r="C22" s="488">
        <v>19.0</v>
      </c>
      <c r="D22" s="485"/>
      <c r="E22" s="477" t="b">
        <v>0</v>
      </c>
      <c r="F22" s="466"/>
      <c r="G22" s="512">
        <v>19.0</v>
      </c>
      <c r="H22" s="518" t="s">
        <v>792</v>
      </c>
      <c r="I22" s="513" t="s">
        <v>817</v>
      </c>
      <c r="J22" s="518" t="s">
        <v>794</v>
      </c>
      <c r="K22" s="477" t="b">
        <v>0</v>
      </c>
      <c r="L22" s="519" t="b">
        <v>0</v>
      </c>
      <c r="M22" s="491"/>
      <c r="N22" s="520"/>
      <c r="O22" s="482" t="s">
        <v>795</v>
      </c>
    </row>
    <row r="23">
      <c r="A23" s="485"/>
      <c r="B23" s="487"/>
      <c r="C23" s="488">
        <v>20.0</v>
      </c>
      <c r="D23" s="485"/>
      <c r="E23" s="477" t="b">
        <v>0</v>
      </c>
      <c r="F23" s="491"/>
      <c r="G23" s="512">
        <v>20.0</v>
      </c>
      <c r="H23" s="518" t="s">
        <v>796</v>
      </c>
      <c r="I23" s="513" t="s">
        <v>818</v>
      </c>
      <c r="J23" s="518" t="s">
        <v>798</v>
      </c>
      <c r="K23" s="477" t="b">
        <v>0</v>
      </c>
      <c r="L23" s="519" t="b">
        <v>0</v>
      </c>
      <c r="M23" s="491"/>
      <c r="N23" s="491"/>
      <c r="O23" s="491"/>
    </row>
  </sheetData>
  <mergeCells count="5">
    <mergeCell ref="A1:O1"/>
    <mergeCell ref="A2:E2"/>
    <mergeCell ref="G2:K2"/>
    <mergeCell ref="M2:O2"/>
    <mergeCell ref="N14:O14"/>
  </mergeCells>
  <conditionalFormatting sqref="E4:E23 K4:K23">
    <cfRule type="cellIs" dxfId="5" priority="1" operator="equal">
      <formula>"True"</formula>
    </cfRule>
  </conditionalFormatting>
  <conditionalFormatting sqref="E4:E23 K4:K23">
    <cfRule type="cellIs" dxfId="9" priority="2" operator="equal">
      <formula>"False"</formula>
    </cfRule>
  </conditionalFormatting>
  <conditionalFormatting sqref="L22:L23">
    <cfRule type="cellIs" dxfId="5" priority="3" operator="equal">
      <formula>"TRUE"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3.88"/>
    <col customWidth="1" min="4" max="4" width="17.38"/>
    <col customWidth="1" min="5" max="5" width="6.63"/>
    <col customWidth="1" min="6" max="6" width="6.38"/>
    <col customWidth="1" min="9" max="9" width="17.75"/>
    <col customWidth="1" min="10" max="10" width="16.5"/>
    <col customWidth="1" min="13" max="13" width="6.25"/>
  </cols>
  <sheetData>
    <row r="1">
      <c r="A1" s="525" t="s">
        <v>819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7"/>
    </row>
    <row r="2">
      <c r="A2" s="89"/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69"/>
    </row>
    <row r="3">
      <c r="A3" s="528" t="s">
        <v>820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4"/>
    </row>
    <row r="4">
      <c r="A4" s="464" t="s">
        <v>734</v>
      </c>
      <c r="B4" s="465"/>
      <c r="C4" s="465"/>
      <c r="D4" s="69"/>
      <c r="E4" s="468"/>
      <c r="F4" s="466"/>
      <c r="G4" s="467" t="s">
        <v>735</v>
      </c>
      <c r="H4" s="465"/>
      <c r="I4" s="465"/>
      <c r="J4" s="465"/>
      <c r="K4" s="465"/>
      <c r="L4" s="465"/>
      <c r="M4" s="465"/>
      <c r="N4" s="69"/>
      <c r="O4" s="529"/>
    </row>
    <row r="5">
      <c r="A5" s="469" t="s">
        <v>821</v>
      </c>
      <c r="B5" s="469"/>
      <c r="C5" s="470" t="s">
        <v>738</v>
      </c>
      <c r="D5" s="469" t="s">
        <v>822</v>
      </c>
      <c r="E5" s="471" t="s">
        <v>740</v>
      </c>
      <c r="F5" s="466"/>
      <c r="G5" s="472" t="s">
        <v>741</v>
      </c>
      <c r="H5" s="472" t="s">
        <v>738</v>
      </c>
      <c r="I5" s="469" t="s">
        <v>823</v>
      </c>
      <c r="J5" s="472" t="s">
        <v>739</v>
      </c>
      <c r="K5" s="530" t="s">
        <v>824</v>
      </c>
      <c r="L5" s="530" t="s">
        <v>825</v>
      </c>
      <c r="M5" s="471" t="s">
        <v>740</v>
      </c>
      <c r="N5" s="469" t="s">
        <v>743</v>
      </c>
      <c r="O5" s="469" t="s">
        <v>70</v>
      </c>
    </row>
    <row r="6">
      <c r="A6" s="531" t="s">
        <v>826</v>
      </c>
      <c r="B6" s="474"/>
      <c r="C6" s="532">
        <v>1.0</v>
      </c>
      <c r="D6" s="531" t="s">
        <v>827</v>
      </c>
      <c r="E6" s="477" t="b">
        <v>0</v>
      </c>
      <c r="F6" s="533"/>
      <c r="G6" s="534">
        <v>1.0</v>
      </c>
      <c r="H6" s="535" t="s">
        <v>828</v>
      </c>
      <c r="I6" s="536" t="s">
        <v>829</v>
      </c>
      <c r="J6" s="537" t="s">
        <v>827</v>
      </c>
      <c r="K6" s="538"/>
      <c r="L6" s="539"/>
      <c r="M6" s="477" t="b">
        <v>1</v>
      </c>
      <c r="N6" s="540" t="b">
        <v>0</v>
      </c>
      <c r="O6" s="541"/>
    </row>
    <row r="7">
      <c r="A7" s="531" t="s">
        <v>826</v>
      </c>
      <c r="B7" s="474"/>
      <c r="C7" s="532">
        <v>2.0</v>
      </c>
      <c r="D7" s="531" t="s">
        <v>830</v>
      </c>
      <c r="E7" s="477" t="b">
        <v>0</v>
      </c>
      <c r="F7" s="533"/>
      <c r="G7" s="534">
        <v>2.0</v>
      </c>
      <c r="H7" s="535" t="s">
        <v>831</v>
      </c>
      <c r="I7" s="536" t="s">
        <v>832</v>
      </c>
      <c r="J7" s="537" t="s">
        <v>830</v>
      </c>
      <c r="K7" s="542"/>
      <c r="L7" s="543"/>
      <c r="M7" s="477" t="b">
        <v>1</v>
      </c>
      <c r="N7" s="540" t="b">
        <v>0</v>
      </c>
      <c r="O7" s="541"/>
    </row>
    <row r="8">
      <c r="A8" s="531" t="s">
        <v>826</v>
      </c>
      <c r="B8" s="474"/>
      <c r="C8" s="532">
        <v>3.0</v>
      </c>
      <c r="D8" s="531" t="s">
        <v>833</v>
      </c>
      <c r="E8" s="477" t="b">
        <v>0</v>
      </c>
      <c r="F8" s="533"/>
      <c r="G8" s="534">
        <v>3.0</v>
      </c>
      <c r="H8" s="535" t="s">
        <v>834</v>
      </c>
      <c r="I8" s="536" t="s">
        <v>835</v>
      </c>
      <c r="J8" s="537" t="s">
        <v>833</v>
      </c>
      <c r="K8" s="542"/>
      <c r="L8" s="543"/>
      <c r="M8" s="477" t="b">
        <v>1</v>
      </c>
      <c r="N8" s="540" t="b">
        <v>0</v>
      </c>
      <c r="O8" s="541"/>
    </row>
    <row r="9">
      <c r="A9" s="531" t="s">
        <v>826</v>
      </c>
      <c r="B9" s="474"/>
      <c r="C9" s="532">
        <v>4.0</v>
      </c>
      <c r="D9" s="531" t="s">
        <v>836</v>
      </c>
      <c r="E9" s="477" t="b">
        <v>0</v>
      </c>
      <c r="F9" s="533"/>
      <c r="G9" s="534">
        <v>4.0</v>
      </c>
      <c r="H9" s="535" t="s">
        <v>837</v>
      </c>
      <c r="I9" s="536" t="s">
        <v>838</v>
      </c>
      <c r="J9" s="537" t="s">
        <v>836</v>
      </c>
      <c r="K9" s="542"/>
      <c r="L9" s="543"/>
      <c r="M9" s="477" t="b">
        <v>1</v>
      </c>
      <c r="N9" s="540" t="b">
        <v>0</v>
      </c>
      <c r="O9" s="541"/>
    </row>
    <row r="10">
      <c r="A10" s="531" t="s">
        <v>826</v>
      </c>
      <c r="B10" s="474"/>
      <c r="C10" s="532">
        <v>5.0</v>
      </c>
      <c r="D10" s="531" t="s">
        <v>839</v>
      </c>
      <c r="E10" s="477" t="b">
        <v>0</v>
      </c>
      <c r="F10" s="533"/>
      <c r="G10" s="534">
        <v>5.0</v>
      </c>
      <c r="H10" s="535" t="s">
        <v>840</v>
      </c>
      <c r="I10" s="536" t="s">
        <v>841</v>
      </c>
      <c r="J10" s="537" t="s">
        <v>839</v>
      </c>
      <c r="K10" s="542"/>
      <c r="L10" s="543"/>
      <c r="M10" s="477" t="b">
        <v>1</v>
      </c>
      <c r="N10" s="540" t="b">
        <v>0</v>
      </c>
      <c r="O10" s="541"/>
    </row>
    <row r="11">
      <c r="A11" s="531" t="s">
        <v>826</v>
      </c>
      <c r="B11" s="474"/>
      <c r="C11" s="532">
        <v>6.0</v>
      </c>
      <c r="D11" s="531" t="s">
        <v>842</v>
      </c>
      <c r="E11" s="477" t="b">
        <v>0</v>
      </c>
      <c r="F11" s="533"/>
      <c r="G11" s="534">
        <v>6.0</v>
      </c>
      <c r="H11" s="535" t="s">
        <v>843</v>
      </c>
      <c r="I11" s="536" t="s">
        <v>844</v>
      </c>
      <c r="J11" s="537" t="s">
        <v>842</v>
      </c>
      <c r="K11" s="542"/>
      <c r="L11" s="543"/>
      <c r="M11" s="477" t="b">
        <v>1</v>
      </c>
      <c r="N11" s="540" t="b">
        <v>0</v>
      </c>
      <c r="O11" s="541"/>
    </row>
    <row r="12">
      <c r="A12" s="531" t="s">
        <v>826</v>
      </c>
      <c r="B12" s="474"/>
      <c r="C12" s="532">
        <v>7.0</v>
      </c>
      <c r="D12" s="531" t="s">
        <v>845</v>
      </c>
      <c r="E12" s="477" t="b">
        <v>0</v>
      </c>
      <c r="F12" s="533"/>
      <c r="G12" s="534">
        <v>7.0</v>
      </c>
      <c r="H12" s="535" t="s">
        <v>846</v>
      </c>
      <c r="I12" s="536" t="s">
        <v>847</v>
      </c>
      <c r="J12" s="537" t="s">
        <v>845</v>
      </c>
      <c r="K12" s="542"/>
      <c r="L12" s="543"/>
      <c r="M12" s="477" t="b">
        <v>1</v>
      </c>
      <c r="N12" s="540" t="b">
        <v>0</v>
      </c>
      <c r="O12" s="541"/>
    </row>
    <row r="13">
      <c r="A13" s="531" t="s">
        <v>826</v>
      </c>
      <c r="B13" s="474"/>
      <c r="C13" s="532">
        <v>8.0</v>
      </c>
      <c r="D13" s="531" t="s">
        <v>848</v>
      </c>
      <c r="E13" s="477" t="b">
        <v>0</v>
      </c>
      <c r="F13" s="533"/>
      <c r="G13" s="534">
        <v>8.0</v>
      </c>
      <c r="H13" s="535" t="s">
        <v>849</v>
      </c>
      <c r="I13" s="536" t="s">
        <v>850</v>
      </c>
      <c r="J13" s="537" t="s">
        <v>848</v>
      </c>
      <c r="K13" s="542"/>
      <c r="L13" s="543"/>
      <c r="M13" s="477" t="b">
        <v>1</v>
      </c>
      <c r="N13" s="540" t="b">
        <v>0</v>
      </c>
      <c r="O13" s="541"/>
    </row>
    <row r="14">
      <c r="A14" s="531" t="s">
        <v>826</v>
      </c>
      <c r="B14" s="474"/>
      <c r="C14" s="532">
        <v>9.0</v>
      </c>
      <c r="D14" s="531" t="s">
        <v>851</v>
      </c>
      <c r="E14" s="477" t="b">
        <v>0</v>
      </c>
      <c r="F14" s="533"/>
      <c r="G14" s="534">
        <v>9.0</v>
      </c>
      <c r="H14" s="535" t="s">
        <v>852</v>
      </c>
      <c r="I14" s="536" t="s">
        <v>853</v>
      </c>
      <c r="J14" s="537" t="s">
        <v>851</v>
      </c>
      <c r="K14" s="542"/>
      <c r="L14" s="543"/>
      <c r="M14" s="477" t="b">
        <v>1</v>
      </c>
      <c r="N14" s="540" t="b">
        <v>0</v>
      </c>
      <c r="O14" s="541"/>
    </row>
    <row r="15">
      <c r="A15" s="531" t="s">
        <v>826</v>
      </c>
      <c r="B15" s="474"/>
      <c r="C15" s="532">
        <v>10.0</v>
      </c>
      <c r="D15" s="531" t="s">
        <v>854</v>
      </c>
      <c r="E15" s="477" t="b">
        <v>0</v>
      </c>
      <c r="F15" s="533"/>
      <c r="G15" s="534">
        <v>10.0</v>
      </c>
      <c r="H15" s="535" t="s">
        <v>855</v>
      </c>
      <c r="I15" s="536" t="s">
        <v>856</v>
      </c>
      <c r="J15" s="537" t="s">
        <v>854</v>
      </c>
      <c r="K15" s="542"/>
      <c r="L15" s="543"/>
      <c r="M15" s="477" t="b">
        <v>1</v>
      </c>
      <c r="N15" s="540" t="b">
        <v>0</v>
      </c>
      <c r="O15" s="541"/>
    </row>
    <row r="16">
      <c r="A16" s="531"/>
      <c r="B16" s="474"/>
      <c r="C16" s="532">
        <v>11.0</v>
      </c>
      <c r="D16" s="531"/>
      <c r="E16" s="477" t="b">
        <v>0</v>
      </c>
      <c r="F16" s="533"/>
      <c r="G16" s="534">
        <v>11.0</v>
      </c>
      <c r="H16" s="535">
        <v>71.0</v>
      </c>
      <c r="I16" s="536" t="s">
        <v>857</v>
      </c>
      <c r="J16" s="537" t="s">
        <v>858</v>
      </c>
      <c r="K16" s="542"/>
      <c r="L16" s="543"/>
      <c r="M16" s="477" t="b">
        <v>1</v>
      </c>
      <c r="N16" s="541"/>
      <c r="O16" s="541"/>
    </row>
    <row r="17">
      <c r="A17" s="531"/>
      <c r="B17" s="474"/>
      <c r="C17" s="532">
        <v>12.0</v>
      </c>
      <c r="D17" s="531"/>
      <c r="E17" s="477" t="b">
        <v>0</v>
      </c>
      <c r="F17" s="533"/>
      <c r="G17" s="534">
        <v>12.0</v>
      </c>
      <c r="H17" s="535">
        <v>72.0</v>
      </c>
      <c r="I17" s="536" t="s">
        <v>859</v>
      </c>
      <c r="J17" s="537" t="s">
        <v>860</v>
      </c>
      <c r="K17" s="542"/>
      <c r="L17" s="543"/>
      <c r="M17" s="477" t="b">
        <v>1</v>
      </c>
      <c r="N17" s="540"/>
      <c r="O17" s="541"/>
    </row>
    <row r="18">
      <c r="A18" s="544"/>
      <c r="B18" s="474"/>
      <c r="C18" s="532">
        <v>13.0</v>
      </c>
      <c r="D18" s="544"/>
      <c r="E18" s="477" t="b">
        <v>0</v>
      </c>
      <c r="F18" s="533"/>
      <c r="G18" s="534">
        <v>13.0</v>
      </c>
      <c r="H18" s="545">
        <v>76.0</v>
      </c>
      <c r="I18" s="536" t="s">
        <v>861</v>
      </c>
      <c r="J18" s="537" t="s">
        <v>862</v>
      </c>
      <c r="K18" s="542"/>
      <c r="L18" s="543"/>
      <c r="M18" s="477" t="b">
        <v>1</v>
      </c>
      <c r="N18" s="541"/>
      <c r="O18" s="541"/>
    </row>
    <row r="19">
      <c r="A19" s="544"/>
      <c r="B19" s="474"/>
      <c r="C19" s="532">
        <v>14.0</v>
      </c>
      <c r="D19" s="544"/>
      <c r="E19" s="477" t="b">
        <v>0</v>
      </c>
      <c r="F19" s="533"/>
      <c r="G19" s="534">
        <v>14.0</v>
      </c>
      <c r="H19" s="535">
        <v>77.0</v>
      </c>
      <c r="I19" s="536" t="s">
        <v>863</v>
      </c>
      <c r="J19" s="537" t="s">
        <v>864</v>
      </c>
      <c r="K19" s="542"/>
      <c r="L19" s="543"/>
      <c r="M19" s="477" t="b">
        <v>1</v>
      </c>
      <c r="N19" s="541"/>
      <c r="O19" s="541"/>
    </row>
    <row r="20">
      <c r="A20" s="544"/>
      <c r="B20" s="474"/>
      <c r="C20" s="532">
        <v>15.0</v>
      </c>
      <c r="D20" s="531"/>
      <c r="E20" s="477" t="b">
        <v>0</v>
      </c>
      <c r="F20" s="533"/>
      <c r="G20" s="534">
        <v>15.0</v>
      </c>
      <c r="H20" s="545">
        <v>78.0</v>
      </c>
      <c r="I20" s="536" t="s">
        <v>865</v>
      </c>
      <c r="J20" s="537" t="s">
        <v>866</v>
      </c>
      <c r="K20" s="542"/>
      <c r="L20" s="543"/>
      <c r="M20" s="477" t="b">
        <v>1</v>
      </c>
      <c r="N20" s="541"/>
      <c r="O20" s="541"/>
    </row>
    <row r="21">
      <c r="A21" s="531"/>
      <c r="B21" s="474"/>
      <c r="C21" s="532">
        <v>16.0</v>
      </c>
      <c r="D21" s="531"/>
      <c r="E21" s="477" t="b">
        <v>0</v>
      </c>
      <c r="F21" s="533"/>
      <c r="G21" s="534">
        <v>16.0</v>
      </c>
      <c r="H21" s="535">
        <v>79.0</v>
      </c>
      <c r="I21" s="536" t="s">
        <v>867</v>
      </c>
      <c r="J21" s="537" t="s">
        <v>868</v>
      </c>
      <c r="K21" s="542"/>
      <c r="L21" s="543"/>
      <c r="M21" s="477" t="b">
        <v>1</v>
      </c>
      <c r="N21" s="541"/>
      <c r="O21" s="541"/>
    </row>
    <row r="22">
      <c r="A22" s="531"/>
      <c r="B22" s="474"/>
      <c r="C22" s="532">
        <v>17.0</v>
      </c>
      <c r="D22" s="531"/>
      <c r="E22" s="477" t="b">
        <v>0</v>
      </c>
      <c r="F22" s="533"/>
      <c r="G22" s="532">
        <v>17.0</v>
      </c>
      <c r="H22" s="544"/>
      <c r="I22" s="531"/>
      <c r="J22" s="546"/>
      <c r="K22" s="542"/>
      <c r="L22" s="543"/>
      <c r="M22" s="477" t="b">
        <v>0</v>
      </c>
      <c r="N22" s="541"/>
      <c r="O22" s="541"/>
    </row>
    <row r="23">
      <c r="A23" s="531"/>
      <c r="B23" s="474"/>
      <c r="C23" s="532">
        <v>18.0</v>
      </c>
      <c r="D23" s="531"/>
      <c r="E23" s="477" t="b">
        <v>0</v>
      </c>
      <c r="F23" s="533"/>
      <c r="G23" s="532">
        <v>18.0</v>
      </c>
      <c r="H23" s="544"/>
      <c r="I23" s="531"/>
      <c r="J23" s="546"/>
      <c r="K23" s="542"/>
      <c r="L23" s="543"/>
      <c r="M23" s="477" t="b">
        <v>0</v>
      </c>
      <c r="N23" s="541"/>
      <c r="O23" s="541"/>
    </row>
    <row r="24">
      <c r="A24" s="531"/>
      <c r="B24" s="474"/>
      <c r="C24" s="532">
        <v>19.0</v>
      </c>
      <c r="D24" s="531"/>
      <c r="E24" s="477" t="b">
        <v>0</v>
      </c>
      <c r="F24" s="533"/>
      <c r="G24" s="532">
        <v>19.0</v>
      </c>
      <c r="H24" s="544"/>
      <c r="I24" s="531"/>
      <c r="J24" s="546"/>
      <c r="K24" s="542"/>
      <c r="L24" s="543"/>
      <c r="M24" s="477" t="b">
        <v>0</v>
      </c>
      <c r="N24" s="541"/>
      <c r="O24" s="541"/>
    </row>
    <row r="25">
      <c r="A25" s="547"/>
      <c r="B25" s="548"/>
      <c r="C25" s="549">
        <v>20.0</v>
      </c>
      <c r="D25" s="547"/>
      <c r="E25" s="550" t="b">
        <v>0</v>
      </c>
      <c r="F25" s="533"/>
      <c r="G25" s="549">
        <v>20.0</v>
      </c>
      <c r="H25" s="547" t="s">
        <v>869</v>
      </c>
      <c r="I25" s="547" t="s">
        <v>870</v>
      </c>
      <c r="J25" s="547" t="s">
        <v>869</v>
      </c>
      <c r="K25" s="551"/>
      <c r="L25" s="552"/>
      <c r="M25" s="550" t="b">
        <v>0</v>
      </c>
      <c r="N25" s="553"/>
      <c r="O25" s="553"/>
    </row>
    <row r="26">
      <c r="A26" s="554" t="s">
        <v>510</v>
      </c>
      <c r="B26" s="474"/>
      <c r="C26" s="475">
        <v>21.0</v>
      </c>
      <c r="D26" s="554" t="s">
        <v>871</v>
      </c>
      <c r="E26" s="555" t="b">
        <v>0</v>
      </c>
      <c r="F26" s="533"/>
      <c r="G26" s="556">
        <v>21.0</v>
      </c>
      <c r="H26" s="557" t="s">
        <v>828</v>
      </c>
      <c r="I26" s="558" t="s">
        <v>872</v>
      </c>
      <c r="J26" s="557" t="s">
        <v>827</v>
      </c>
      <c r="K26" s="559"/>
      <c r="L26" s="542"/>
      <c r="M26" s="555" t="b">
        <v>1</v>
      </c>
      <c r="N26" s="541" t="b">
        <v>0</v>
      </c>
      <c r="O26" s="541"/>
    </row>
    <row r="27">
      <c r="A27" s="531" t="s">
        <v>510</v>
      </c>
      <c r="B27" s="474"/>
      <c r="C27" s="532">
        <v>22.0</v>
      </c>
      <c r="D27" s="531" t="s">
        <v>873</v>
      </c>
      <c r="E27" s="477" t="b">
        <v>0</v>
      </c>
      <c r="F27" s="533"/>
      <c r="G27" s="534">
        <v>22.0</v>
      </c>
      <c r="H27" s="535" t="s">
        <v>831</v>
      </c>
      <c r="I27" s="536" t="s">
        <v>874</v>
      </c>
      <c r="J27" s="537" t="s">
        <v>830</v>
      </c>
      <c r="K27" s="542"/>
      <c r="L27" s="543"/>
      <c r="M27" s="477" t="b">
        <v>1</v>
      </c>
      <c r="N27" s="541" t="b">
        <v>0</v>
      </c>
      <c r="O27" s="541"/>
    </row>
    <row r="28">
      <c r="A28" s="531" t="s">
        <v>510</v>
      </c>
      <c r="B28" s="474"/>
      <c r="C28" s="532">
        <v>23.0</v>
      </c>
      <c r="D28" s="531" t="s">
        <v>875</v>
      </c>
      <c r="E28" s="477" t="b">
        <v>0</v>
      </c>
      <c r="F28" s="533"/>
      <c r="G28" s="534">
        <v>23.0</v>
      </c>
      <c r="H28" s="535" t="s">
        <v>834</v>
      </c>
      <c r="I28" s="536" t="s">
        <v>876</v>
      </c>
      <c r="J28" s="537" t="s">
        <v>833</v>
      </c>
      <c r="K28" s="542"/>
      <c r="L28" s="543"/>
      <c r="M28" s="477" t="b">
        <v>1</v>
      </c>
      <c r="N28" s="541" t="b">
        <v>0</v>
      </c>
      <c r="O28" s="541"/>
    </row>
    <row r="29">
      <c r="A29" s="531" t="s">
        <v>510</v>
      </c>
      <c r="B29" s="474"/>
      <c r="C29" s="532">
        <v>24.0</v>
      </c>
      <c r="D29" s="531" t="s">
        <v>877</v>
      </c>
      <c r="E29" s="477" t="b">
        <v>0</v>
      </c>
      <c r="F29" s="533"/>
      <c r="G29" s="534">
        <v>24.0</v>
      </c>
      <c r="H29" s="535" t="s">
        <v>837</v>
      </c>
      <c r="I29" s="536" t="s">
        <v>878</v>
      </c>
      <c r="J29" s="537" t="s">
        <v>836</v>
      </c>
      <c r="K29" s="542"/>
      <c r="L29" s="543"/>
      <c r="M29" s="477" t="b">
        <v>1</v>
      </c>
      <c r="N29" s="541" t="b">
        <v>0</v>
      </c>
      <c r="O29" s="541"/>
    </row>
    <row r="30">
      <c r="A30" s="531" t="s">
        <v>510</v>
      </c>
      <c r="B30" s="474"/>
      <c r="C30" s="532">
        <v>25.0</v>
      </c>
      <c r="D30" s="531" t="s">
        <v>879</v>
      </c>
      <c r="E30" s="477" t="b">
        <v>0</v>
      </c>
      <c r="F30" s="533"/>
      <c r="G30" s="534">
        <v>25.0</v>
      </c>
      <c r="H30" s="535" t="s">
        <v>840</v>
      </c>
      <c r="I30" s="536" t="s">
        <v>880</v>
      </c>
      <c r="J30" s="537" t="s">
        <v>839</v>
      </c>
      <c r="K30" s="542"/>
      <c r="L30" s="543"/>
      <c r="M30" s="477" t="b">
        <v>1</v>
      </c>
      <c r="N30" s="541" t="b">
        <v>0</v>
      </c>
      <c r="O30" s="541"/>
    </row>
    <row r="31">
      <c r="A31" s="531" t="s">
        <v>510</v>
      </c>
      <c r="B31" s="474"/>
      <c r="C31" s="532">
        <v>26.0</v>
      </c>
      <c r="D31" s="531" t="s">
        <v>881</v>
      </c>
      <c r="E31" s="477" t="b">
        <v>0</v>
      </c>
      <c r="F31" s="533"/>
      <c r="G31" s="534">
        <v>26.0</v>
      </c>
      <c r="H31" s="535" t="s">
        <v>843</v>
      </c>
      <c r="I31" s="536" t="s">
        <v>882</v>
      </c>
      <c r="J31" s="537" t="s">
        <v>842</v>
      </c>
      <c r="K31" s="542"/>
      <c r="L31" s="543"/>
      <c r="M31" s="477" t="b">
        <v>1</v>
      </c>
      <c r="N31" s="541" t="b">
        <v>0</v>
      </c>
      <c r="O31" s="541"/>
    </row>
    <row r="32">
      <c r="A32" s="531" t="s">
        <v>510</v>
      </c>
      <c r="B32" s="474"/>
      <c r="C32" s="532">
        <v>27.0</v>
      </c>
      <c r="D32" s="531" t="s">
        <v>883</v>
      </c>
      <c r="E32" s="477" t="b">
        <v>0</v>
      </c>
      <c r="F32" s="533"/>
      <c r="G32" s="534">
        <v>27.0</v>
      </c>
      <c r="H32" s="535" t="s">
        <v>846</v>
      </c>
      <c r="I32" s="536" t="s">
        <v>884</v>
      </c>
      <c r="J32" s="537" t="s">
        <v>845</v>
      </c>
      <c r="K32" s="542"/>
      <c r="L32" s="543"/>
      <c r="M32" s="477" t="b">
        <v>1</v>
      </c>
      <c r="N32" s="541" t="b">
        <v>0</v>
      </c>
      <c r="O32" s="541"/>
    </row>
    <row r="33">
      <c r="A33" s="531" t="s">
        <v>510</v>
      </c>
      <c r="B33" s="474"/>
      <c r="C33" s="532">
        <v>28.0</v>
      </c>
      <c r="D33" s="531" t="s">
        <v>885</v>
      </c>
      <c r="E33" s="477" t="b">
        <v>0</v>
      </c>
      <c r="F33" s="533"/>
      <c r="G33" s="534">
        <v>28.0</v>
      </c>
      <c r="H33" s="535" t="s">
        <v>849</v>
      </c>
      <c r="I33" s="536" t="s">
        <v>886</v>
      </c>
      <c r="J33" s="537" t="s">
        <v>848</v>
      </c>
      <c r="K33" s="542"/>
      <c r="L33" s="543"/>
      <c r="M33" s="477" t="b">
        <v>1</v>
      </c>
      <c r="N33" s="541" t="b">
        <v>0</v>
      </c>
      <c r="O33" s="541"/>
    </row>
    <row r="34">
      <c r="A34" s="531" t="s">
        <v>510</v>
      </c>
      <c r="B34" s="474"/>
      <c r="C34" s="532">
        <v>29.0</v>
      </c>
      <c r="D34" s="531" t="s">
        <v>887</v>
      </c>
      <c r="E34" s="477" t="b">
        <v>0</v>
      </c>
      <c r="F34" s="533"/>
      <c r="G34" s="534">
        <v>29.0</v>
      </c>
      <c r="H34" s="535" t="s">
        <v>852</v>
      </c>
      <c r="I34" s="536" t="s">
        <v>888</v>
      </c>
      <c r="J34" s="537" t="s">
        <v>851</v>
      </c>
      <c r="K34" s="542"/>
      <c r="L34" s="543"/>
      <c r="M34" s="477" t="b">
        <v>1</v>
      </c>
      <c r="N34" s="541" t="b">
        <v>0</v>
      </c>
      <c r="O34" s="541"/>
    </row>
    <row r="35">
      <c r="A35" s="531" t="s">
        <v>510</v>
      </c>
      <c r="B35" s="474"/>
      <c r="C35" s="532">
        <v>30.0</v>
      </c>
      <c r="D35" s="531" t="s">
        <v>889</v>
      </c>
      <c r="E35" s="477" t="b">
        <v>0</v>
      </c>
      <c r="F35" s="533"/>
      <c r="G35" s="534">
        <v>30.0</v>
      </c>
      <c r="H35" s="535" t="s">
        <v>855</v>
      </c>
      <c r="I35" s="536" t="s">
        <v>890</v>
      </c>
      <c r="J35" s="537" t="s">
        <v>854</v>
      </c>
      <c r="K35" s="542"/>
      <c r="L35" s="543"/>
      <c r="M35" s="477" t="b">
        <v>1</v>
      </c>
      <c r="N35" s="541" t="b">
        <v>0</v>
      </c>
      <c r="O35" s="541"/>
    </row>
    <row r="36">
      <c r="A36" s="531"/>
      <c r="B36" s="474"/>
      <c r="C36" s="532">
        <v>31.0</v>
      </c>
      <c r="D36" s="531"/>
      <c r="E36" s="477" t="b">
        <v>0</v>
      </c>
      <c r="F36" s="533"/>
      <c r="G36" s="534">
        <v>31.0</v>
      </c>
      <c r="H36" s="535">
        <v>71.0</v>
      </c>
      <c r="I36" s="536" t="s">
        <v>891</v>
      </c>
      <c r="J36" s="537" t="s">
        <v>858</v>
      </c>
      <c r="K36" s="542"/>
      <c r="L36" s="543"/>
      <c r="M36" s="477" t="b">
        <v>1</v>
      </c>
      <c r="N36" s="541"/>
      <c r="O36" s="541"/>
    </row>
    <row r="37">
      <c r="A37" s="531"/>
      <c r="B37" s="474"/>
      <c r="C37" s="532">
        <v>32.0</v>
      </c>
      <c r="D37" s="531"/>
      <c r="E37" s="477" t="b">
        <v>0</v>
      </c>
      <c r="F37" s="533"/>
      <c r="G37" s="534">
        <v>32.0</v>
      </c>
      <c r="H37" s="535">
        <v>72.0</v>
      </c>
      <c r="I37" s="536" t="s">
        <v>892</v>
      </c>
      <c r="J37" s="537" t="s">
        <v>860</v>
      </c>
      <c r="K37" s="542"/>
      <c r="L37" s="543"/>
      <c r="M37" s="477" t="b">
        <v>1</v>
      </c>
      <c r="N37" s="541"/>
      <c r="O37" s="541"/>
    </row>
    <row r="38">
      <c r="A38" s="531"/>
      <c r="B38" s="474"/>
      <c r="C38" s="532">
        <v>33.0</v>
      </c>
      <c r="D38" s="531"/>
      <c r="E38" s="477" t="b">
        <v>0</v>
      </c>
      <c r="F38" s="533"/>
      <c r="G38" s="534">
        <v>33.0</v>
      </c>
      <c r="H38" s="535">
        <v>80.0</v>
      </c>
      <c r="I38" s="536" t="s">
        <v>893</v>
      </c>
      <c r="J38" s="537" t="s">
        <v>894</v>
      </c>
      <c r="K38" s="542"/>
      <c r="L38" s="543"/>
      <c r="M38" s="477" t="b">
        <v>1</v>
      </c>
      <c r="N38" s="541"/>
      <c r="O38" s="541"/>
    </row>
    <row r="39">
      <c r="A39" s="531"/>
      <c r="B39" s="474"/>
      <c r="C39" s="532">
        <v>34.0</v>
      </c>
      <c r="D39" s="531"/>
      <c r="E39" s="477" t="b">
        <v>0</v>
      </c>
      <c r="F39" s="533"/>
      <c r="G39" s="534">
        <v>34.0</v>
      </c>
      <c r="H39" s="535"/>
      <c r="I39" s="536" t="s">
        <v>895</v>
      </c>
      <c r="J39" s="537"/>
      <c r="K39" s="542"/>
      <c r="L39" s="543"/>
      <c r="M39" s="477" t="b">
        <v>1</v>
      </c>
      <c r="N39" s="541"/>
      <c r="O39" s="541"/>
    </row>
    <row r="40">
      <c r="A40" s="531"/>
      <c r="B40" s="474"/>
      <c r="C40" s="532">
        <v>35.0</v>
      </c>
      <c r="D40" s="531"/>
      <c r="E40" s="477" t="b">
        <v>0</v>
      </c>
      <c r="F40" s="533"/>
      <c r="G40" s="534">
        <v>35.0</v>
      </c>
      <c r="H40" s="545"/>
      <c r="I40" s="536" t="s">
        <v>896</v>
      </c>
      <c r="J40" s="537"/>
      <c r="K40" s="542"/>
      <c r="L40" s="543"/>
      <c r="M40" s="477" t="b">
        <v>1</v>
      </c>
      <c r="N40" s="541"/>
      <c r="O40" s="541"/>
    </row>
    <row r="41">
      <c r="A41" s="531" t="s">
        <v>897</v>
      </c>
      <c r="B41" s="474"/>
      <c r="C41" s="532">
        <v>36.0</v>
      </c>
      <c r="D41" s="531" t="s">
        <v>898</v>
      </c>
      <c r="E41" s="477" t="b">
        <v>0</v>
      </c>
      <c r="F41" s="533"/>
      <c r="G41" s="534">
        <v>36.0</v>
      </c>
      <c r="H41" s="535"/>
      <c r="I41" s="536" t="s">
        <v>899</v>
      </c>
      <c r="J41" s="537"/>
      <c r="K41" s="542"/>
      <c r="L41" s="543"/>
      <c r="M41" s="477" t="b">
        <v>1</v>
      </c>
      <c r="N41" s="541"/>
      <c r="O41" s="541"/>
    </row>
    <row r="42">
      <c r="A42" s="531" t="s">
        <v>900</v>
      </c>
      <c r="B42" s="474"/>
      <c r="C42" s="532">
        <v>37.0</v>
      </c>
      <c r="D42" s="531" t="s">
        <v>901</v>
      </c>
      <c r="E42" s="477" t="b">
        <v>0</v>
      </c>
      <c r="F42" s="533"/>
      <c r="G42" s="532">
        <v>37.0</v>
      </c>
      <c r="H42" s="544"/>
      <c r="I42" s="544"/>
      <c r="J42" s="560"/>
      <c r="K42" s="561"/>
      <c r="L42" s="562"/>
      <c r="M42" s="477" t="b">
        <v>0</v>
      </c>
      <c r="N42" s="541"/>
      <c r="O42" s="541"/>
    </row>
    <row r="43">
      <c r="A43" s="531" t="s">
        <v>902</v>
      </c>
      <c r="B43" s="474"/>
      <c r="C43" s="532">
        <v>38.0</v>
      </c>
      <c r="D43" s="531" t="s">
        <v>903</v>
      </c>
      <c r="E43" s="477" t="b">
        <v>0</v>
      </c>
      <c r="F43" s="533"/>
      <c r="G43" s="532">
        <v>38.0</v>
      </c>
      <c r="H43" s="531"/>
      <c r="I43" s="531"/>
      <c r="J43" s="546"/>
      <c r="K43" s="561"/>
      <c r="L43" s="562"/>
      <c r="M43" s="477" t="b">
        <v>0</v>
      </c>
      <c r="N43" s="541"/>
      <c r="O43" s="541"/>
    </row>
    <row r="44">
      <c r="A44" s="531" t="s">
        <v>904</v>
      </c>
      <c r="B44" s="474"/>
      <c r="C44" s="532">
        <v>39.0</v>
      </c>
      <c r="D44" s="531" t="s">
        <v>905</v>
      </c>
      <c r="E44" s="477" t="b">
        <v>0</v>
      </c>
      <c r="F44" s="533"/>
      <c r="G44" s="532">
        <v>39.0</v>
      </c>
      <c r="H44" s="531"/>
      <c r="I44" s="531"/>
      <c r="J44" s="546"/>
      <c r="K44" s="561"/>
      <c r="L44" s="562"/>
      <c r="M44" s="477" t="b">
        <v>0</v>
      </c>
      <c r="N44" s="541"/>
      <c r="O44" s="541"/>
    </row>
    <row r="45">
      <c r="A45" s="531" t="s">
        <v>906</v>
      </c>
      <c r="B45" s="548"/>
      <c r="C45" s="549">
        <v>40.0</v>
      </c>
      <c r="D45" s="547" t="s">
        <v>907</v>
      </c>
      <c r="E45" s="550" t="b">
        <v>0</v>
      </c>
      <c r="F45" s="563"/>
      <c r="G45" s="564">
        <v>40.0</v>
      </c>
      <c r="H45" s="547"/>
      <c r="I45" s="565"/>
      <c r="J45" s="566"/>
      <c r="K45" s="567"/>
      <c r="L45" s="568"/>
      <c r="M45" s="550" t="b">
        <v>0</v>
      </c>
      <c r="N45" s="569"/>
      <c r="O45" s="570"/>
    </row>
    <row r="46">
      <c r="A46" s="554" t="s">
        <v>908</v>
      </c>
      <c r="B46" s="474"/>
      <c r="C46" s="571">
        <v>41.0</v>
      </c>
      <c r="D46" s="572" t="s">
        <v>909</v>
      </c>
      <c r="E46" s="555" t="b">
        <v>0</v>
      </c>
      <c r="F46" s="563"/>
      <c r="G46" s="476">
        <v>41.0</v>
      </c>
      <c r="H46" s="554"/>
      <c r="I46" s="573"/>
      <c r="J46" s="574"/>
      <c r="K46" s="559"/>
      <c r="L46" s="542"/>
      <c r="M46" s="555" t="b">
        <v>0</v>
      </c>
      <c r="N46" s="541"/>
      <c r="O46" s="541"/>
    </row>
    <row r="47">
      <c r="A47" s="531" t="s">
        <v>910</v>
      </c>
      <c r="B47" s="474"/>
      <c r="C47" s="475">
        <v>42.0</v>
      </c>
      <c r="D47" s="531" t="s">
        <v>911</v>
      </c>
      <c r="E47" s="477" t="b">
        <v>0</v>
      </c>
      <c r="F47" s="533"/>
      <c r="G47" s="475">
        <v>42.0</v>
      </c>
      <c r="H47" s="554"/>
      <c r="I47" s="573"/>
      <c r="J47" s="575"/>
      <c r="K47" s="542"/>
      <c r="L47" s="543"/>
      <c r="M47" s="477" t="b">
        <v>0</v>
      </c>
      <c r="N47" s="541"/>
      <c r="O47" s="541"/>
    </row>
    <row r="48">
      <c r="A48" s="531" t="s">
        <v>912</v>
      </c>
      <c r="B48" s="474"/>
      <c r="C48" s="576">
        <v>43.0</v>
      </c>
      <c r="D48" s="531" t="s">
        <v>913</v>
      </c>
      <c r="E48" s="477" t="b">
        <v>0</v>
      </c>
      <c r="F48" s="533"/>
      <c r="G48" s="532">
        <v>43.0</v>
      </c>
      <c r="H48" s="531"/>
      <c r="I48" s="573"/>
      <c r="J48" s="575"/>
      <c r="K48" s="542"/>
      <c r="L48" s="543"/>
      <c r="M48" s="477" t="b">
        <v>0</v>
      </c>
      <c r="N48" s="541"/>
      <c r="O48" s="541"/>
    </row>
    <row r="49">
      <c r="A49" s="531" t="s">
        <v>914</v>
      </c>
      <c r="B49" s="474"/>
      <c r="C49" s="532">
        <v>44.0</v>
      </c>
      <c r="D49" s="531" t="s">
        <v>915</v>
      </c>
      <c r="E49" s="477" t="b">
        <v>0</v>
      </c>
      <c r="F49" s="533"/>
      <c r="G49" s="532">
        <v>44.0</v>
      </c>
      <c r="H49" s="531"/>
      <c r="I49" s="573"/>
      <c r="J49" s="575"/>
      <c r="K49" s="542"/>
      <c r="L49" s="543"/>
      <c r="M49" s="477" t="b">
        <v>0</v>
      </c>
      <c r="N49" s="541"/>
      <c r="O49" s="541"/>
    </row>
    <row r="50">
      <c r="A50" s="531" t="s">
        <v>916</v>
      </c>
      <c r="B50" s="474"/>
      <c r="C50" s="576">
        <v>45.0</v>
      </c>
      <c r="D50" s="531" t="s">
        <v>917</v>
      </c>
      <c r="E50" s="477" t="b">
        <v>0</v>
      </c>
      <c r="F50" s="533"/>
      <c r="G50" s="532">
        <v>45.0</v>
      </c>
      <c r="H50" s="544"/>
      <c r="I50" s="577"/>
      <c r="J50" s="578"/>
      <c r="K50" s="542"/>
      <c r="L50" s="543"/>
      <c r="M50" s="477" t="b">
        <v>0</v>
      </c>
      <c r="N50" s="541"/>
      <c r="O50" s="541"/>
    </row>
    <row r="51">
      <c r="A51" s="531"/>
      <c r="B51" s="474"/>
      <c r="C51" s="532">
        <v>46.0</v>
      </c>
      <c r="D51" s="531"/>
      <c r="E51" s="477" t="b">
        <v>0</v>
      </c>
      <c r="F51" s="533"/>
      <c r="G51" s="532">
        <v>46.0</v>
      </c>
      <c r="H51" s="531"/>
      <c r="I51" s="576"/>
      <c r="J51" s="579"/>
      <c r="K51" s="542"/>
      <c r="L51" s="543"/>
      <c r="M51" s="477" t="b">
        <v>0</v>
      </c>
      <c r="N51" s="541"/>
      <c r="O51" s="541"/>
    </row>
    <row r="52">
      <c r="A52" s="531"/>
      <c r="B52" s="474"/>
      <c r="C52" s="576">
        <v>47.0</v>
      </c>
      <c r="D52" s="531"/>
      <c r="E52" s="477" t="b">
        <v>0</v>
      </c>
      <c r="F52" s="533"/>
      <c r="G52" s="532">
        <v>47.0</v>
      </c>
      <c r="H52" s="544"/>
      <c r="I52" s="571"/>
      <c r="J52" s="580"/>
      <c r="K52" s="542"/>
      <c r="L52" s="543"/>
      <c r="M52" s="477" t="b">
        <v>0</v>
      </c>
      <c r="N52" s="541"/>
      <c r="O52" s="541"/>
    </row>
    <row r="53">
      <c r="A53" s="531"/>
      <c r="B53" s="474"/>
      <c r="C53" s="532">
        <v>48.0</v>
      </c>
      <c r="D53" s="531"/>
      <c r="E53" s="477" t="b">
        <v>0</v>
      </c>
      <c r="F53" s="533"/>
      <c r="G53" s="532">
        <v>48.0</v>
      </c>
      <c r="H53" s="531"/>
      <c r="I53" s="571"/>
      <c r="J53" s="580"/>
      <c r="K53" s="542"/>
      <c r="L53" s="543"/>
      <c r="M53" s="477" t="b">
        <v>0</v>
      </c>
      <c r="N53" s="541"/>
      <c r="O53" s="541"/>
    </row>
    <row r="54">
      <c r="A54" s="531"/>
      <c r="B54" s="474"/>
      <c r="C54" s="576">
        <v>49.0</v>
      </c>
      <c r="D54" s="531"/>
      <c r="E54" s="477" t="b">
        <v>0</v>
      </c>
      <c r="F54" s="533"/>
      <c r="G54" s="532">
        <v>49.0</v>
      </c>
      <c r="H54" s="544"/>
      <c r="I54" s="571"/>
      <c r="J54" s="580"/>
      <c r="K54" s="542"/>
      <c r="L54" s="543"/>
      <c r="M54" s="477" t="b">
        <v>0</v>
      </c>
      <c r="N54" s="541"/>
      <c r="O54" s="541"/>
    </row>
    <row r="55">
      <c r="A55" s="581"/>
      <c r="B55" s="474"/>
      <c r="C55" s="532">
        <v>50.0</v>
      </c>
      <c r="D55" s="581"/>
      <c r="E55" s="477" t="b">
        <v>0</v>
      </c>
      <c r="F55" s="533"/>
      <c r="G55" s="532">
        <v>50.0</v>
      </c>
      <c r="H55" s="531"/>
      <c r="I55" s="571"/>
      <c r="J55" s="473"/>
      <c r="K55" s="582"/>
      <c r="L55" s="583"/>
      <c r="M55" s="477" t="b">
        <v>0</v>
      </c>
      <c r="N55" s="541"/>
      <c r="O55" s="541"/>
    </row>
    <row r="56">
      <c r="A56" s="531" t="s">
        <v>918</v>
      </c>
      <c r="B56" s="474"/>
      <c r="C56" s="576">
        <v>51.0</v>
      </c>
      <c r="D56" s="531" t="s">
        <v>919</v>
      </c>
      <c r="E56" s="477" t="b">
        <v>0</v>
      </c>
      <c r="F56" s="533"/>
      <c r="G56" s="584">
        <v>51.0</v>
      </c>
      <c r="H56" s="585">
        <v>38.0</v>
      </c>
      <c r="I56" s="586" t="s">
        <v>920</v>
      </c>
      <c r="J56" s="587" t="s">
        <v>903</v>
      </c>
      <c r="K56" s="588" t="s">
        <v>921</v>
      </c>
      <c r="L56" s="589"/>
      <c r="M56" s="477" t="b">
        <v>0</v>
      </c>
      <c r="N56" s="541"/>
      <c r="O56" s="541"/>
    </row>
    <row r="57">
      <c r="A57" s="531" t="s">
        <v>922</v>
      </c>
      <c r="B57" s="474"/>
      <c r="C57" s="532">
        <v>52.0</v>
      </c>
      <c r="D57" s="531" t="s">
        <v>923</v>
      </c>
      <c r="E57" s="477" t="b">
        <v>0</v>
      </c>
      <c r="F57" s="533"/>
      <c r="G57" s="584">
        <v>52.0</v>
      </c>
      <c r="H57" s="585">
        <v>39.0</v>
      </c>
      <c r="I57" s="85"/>
      <c r="J57" s="587" t="s">
        <v>905</v>
      </c>
      <c r="K57" s="85"/>
      <c r="L57" s="585"/>
      <c r="M57" s="477" t="b">
        <v>0</v>
      </c>
      <c r="N57" s="541"/>
      <c r="O57" s="541"/>
    </row>
    <row r="58">
      <c r="A58" s="531" t="s">
        <v>924</v>
      </c>
      <c r="B58" s="474"/>
      <c r="C58" s="576">
        <v>53.0</v>
      </c>
      <c r="D58" s="531" t="s">
        <v>925</v>
      </c>
      <c r="E58" s="477" t="b">
        <v>0</v>
      </c>
      <c r="F58" s="533"/>
      <c r="G58" s="584">
        <v>53.0</v>
      </c>
      <c r="H58" s="585">
        <v>40.0</v>
      </c>
      <c r="I58" s="85"/>
      <c r="J58" s="587" t="s">
        <v>907</v>
      </c>
      <c r="K58" s="85"/>
      <c r="L58" s="585"/>
      <c r="M58" s="477" t="b">
        <v>0</v>
      </c>
      <c r="N58" s="541"/>
      <c r="O58" s="541"/>
    </row>
    <row r="59">
      <c r="A59" s="531" t="s">
        <v>926</v>
      </c>
      <c r="B59" s="474"/>
      <c r="C59" s="532">
        <v>54.0</v>
      </c>
      <c r="D59" s="531" t="s">
        <v>927</v>
      </c>
      <c r="E59" s="477" t="b">
        <v>0</v>
      </c>
      <c r="F59" s="533"/>
      <c r="G59" s="584">
        <v>54.0</v>
      </c>
      <c r="H59" s="587">
        <v>41.0</v>
      </c>
      <c r="I59" s="85"/>
      <c r="J59" s="587" t="s">
        <v>909</v>
      </c>
      <c r="K59" s="85"/>
      <c r="L59" s="585"/>
      <c r="M59" s="477" t="b">
        <v>0</v>
      </c>
      <c r="N59" s="541"/>
      <c r="O59" s="541"/>
    </row>
    <row r="60">
      <c r="A60" s="531" t="s">
        <v>928</v>
      </c>
      <c r="B60" s="474"/>
      <c r="C60" s="532">
        <v>55.0</v>
      </c>
      <c r="D60" s="531" t="s">
        <v>929</v>
      </c>
      <c r="E60" s="477" t="b">
        <v>0</v>
      </c>
      <c r="F60" s="533"/>
      <c r="G60" s="584">
        <v>55.0</v>
      </c>
      <c r="H60" s="585">
        <v>42.0</v>
      </c>
      <c r="I60" s="85"/>
      <c r="J60" s="587" t="s">
        <v>911</v>
      </c>
      <c r="K60" s="85"/>
      <c r="L60" s="585"/>
      <c r="M60" s="477" t="b">
        <v>0</v>
      </c>
      <c r="N60" s="541"/>
      <c r="O60" s="541"/>
    </row>
    <row r="61">
      <c r="A61" s="531"/>
      <c r="B61" s="474"/>
      <c r="C61" s="576">
        <v>56.0</v>
      </c>
      <c r="D61" s="531"/>
      <c r="E61" s="477" t="b">
        <v>0</v>
      </c>
      <c r="F61" s="533"/>
      <c r="G61" s="584">
        <v>56.0</v>
      </c>
      <c r="H61" s="587">
        <v>43.0</v>
      </c>
      <c r="I61" s="85"/>
      <c r="J61" s="587" t="s">
        <v>913</v>
      </c>
      <c r="K61" s="85"/>
      <c r="L61" s="585"/>
      <c r="M61" s="477" t="b">
        <v>0</v>
      </c>
      <c r="N61" s="541"/>
      <c r="O61" s="541"/>
    </row>
    <row r="62">
      <c r="A62" s="531"/>
      <c r="B62" s="474"/>
      <c r="C62" s="532">
        <v>57.0</v>
      </c>
      <c r="D62" s="531"/>
      <c r="E62" s="477" t="b">
        <v>0</v>
      </c>
      <c r="F62" s="533"/>
      <c r="G62" s="584">
        <v>57.0</v>
      </c>
      <c r="H62" s="585">
        <v>44.0</v>
      </c>
      <c r="I62" s="85"/>
      <c r="J62" s="587" t="s">
        <v>915</v>
      </c>
      <c r="K62" s="85"/>
      <c r="L62" s="585"/>
      <c r="M62" s="477" t="b">
        <v>0</v>
      </c>
      <c r="N62" s="541"/>
      <c r="O62" s="541"/>
    </row>
    <row r="63">
      <c r="A63" s="531"/>
      <c r="B63" s="474"/>
      <c r="C63" s="576">
        <v>58.0</v>
      </c>
      <c r="D63" s="531"/>
      <c r="E63" s="477" t="b">
        <v>0</v>
      </c>
      <c r="F63" s="533"/>
      <c r="G63" s="584">
        <v>58.0</v>
      </c>
      <c r="H63" s="587">
        <v>45.0</v>
      </c>
      <c r="I63" s="85"/>
      <c r="J63" s="587" t="s">
        <v>917</v>
      </c>
      <c r="K63" s="85"/>
      <c r="L63" s="585"/>
      <c r="M63" s="477" t="b">
        <v>0</v>
      </c>
      <c r="N63" s="541"/>
      <c r="O63" s="541"/>
    </row>
    <row r="64">
      <c r="A64" s="531"/>
      <c r="B64" s="474"/>
      <c r="C64" s="532">
        <v>59.0</v>
      </c>
      <c r="D64" s="531"/>
      <c r="E64" s="477" t="b">
        <v>0</v>
      </c>
      <c r="F64" s="533"/>
      <c r="G64" s="584">
        <v>59.0</v>
      </c>
      <c r="H64" s="587"/>
      <c r="I64" s="85"/>
      <c r="J64" s="587"/>
      <c r="K64" s="85"/>
      <c r="L64" s="585"/>
      <c r="M64" s="477" t="b">
        <v>0</v>
      </c>
      <c r="N64" s="541"/>
      <c r="O64" s="541"/>
    </row>
    <row r="65">
      <c r="A65" s="547" t="s">
        <v>930</v>
      </c>
      <c r="B65" s="548"/>
      <c r="C65" s="590">
        <v>60.0</v>
      </c>
      <c r="D65" s="547" t="s">
        <v>931</v>
      </c>
      <c r="E65" s="550" t="b">
        <v>0</v>
      </c>
      <c r="F65" s="533"/>
      <c r="G65" s="591">
        <v>60.0</v>
      </c>
      <c r="H65" s="592"/>
      <c r="I65" s="593"/>
      <c r="J65" s="592"/>
      <c r="K65" s="593"/>
      <c r="L65" s="594"/>
      <c r="M65" s="550" t="b">
        <v>0</v>
      </c>
      <c r="N65" s="553"/>
      <c r="O65" s="553"/>
    </row>
    <row r="66">
      <c r="A66" s="554" t="s">
        <v>932</v>
      </c>
      <c r="B66" s="474"/>
      <c r="C66" s="475">
        <v>61.0</v>
      </c>
      <c r="D66" s="554" t="s">
        <v>933</v>
      </c>
      <c r="E66" s="555" t="b">
        <v>0</v>
      </c>
      <c r="F66" s="533"/>
      <c r="G66" s="556">
        <v>61.0</v>
      </c>
      <c r="H66" s="557">
        <v>61.0</v>
      </c>
      <c r="I66" s="558" t="s">
        <v>934</v>
      </c>
      <c r="J66" s="557" t="s">
        <v>933</v>
      </c>
      <c r="K66" s="595"/>
      <c r="L66" s="542"/>
      <c r="M66" s="555" t="b">
        <v>1</v>
      </c>
      <c r="N66" s="541"/>
      <c r="O66" s="541"/>
    </row>
    <row r="67">
      <c r="A67" s="531" t="s">
        <v>935</v>
      </c>
      <c r="B67" s="474"/>
      <c r="C67" s="576">
        <v>62.0</v>
      </c>
      <c r="D67" s="531" t="s">
        <v>936</v>
      </c>
      <c r="E67" s="477" t="b">
        <v>0</v>
      </c>
      <c r="F67" s="533"/>
      <c r="G67" s="534">
        <v>62.0</v>
      </c>
      <c r="H67" s="535">
        <v>62.0</v>
      </c>
      <c r="I67" s="536" t="s">
        <v>937</v>
      </c>
      <c r="J67" s="537" t="s">
        <v>936</v>
      </c>
      <c r="K67" s="596"/>
      <c r="L67" s="543"/>
      <c r="M67" s="477" t="b">
        <v>1</v>
      </c>
      <c r="N67" s="541"/>
      <c r="O67" s="541"/>
    </row>
    <row r="68">
      <c r="A68" s="531" t="s">
        <v>938</v>
      </c>
      <c r="B68" s="474"/>
      <c r="C68" s="532">
        <v>63.0</v>
      </c>
      <c r="D68" s="531" t="s">
        <v>939</v>
      </c>
      <c r="E68" s="477" t="b">
        <v>0</v>
      </c>
      <c r="F68" s="533"/>
      <c r="G68" s="534">
        <v>63.0</v>
      </c>
      <c r="H68" s="535">
        <v>63.0</v>
      </c>
      <c r="I68" s="536" t="s">
        <v>940</v>
      </c>
      <c r="J68" s="537" t="s">
        <v>939</v>
      </c>
      <c r="K68" s="596"/>
      <c r="L68" s="543"/>
      <c r="M68" s="477" t="b">
        <v>1</v>
      </c>
      <c r="N68" s="541"/>
      <c r="O68" s="541"/>
    </row>
    <row r="69">
      <c r="A69" s="531" t="s">
        <v>941</v>
      </c>
      <c r="B69" s="474"/>
      <c r="C69" s="576">
        <v>64.0</v>
      </c>
      <c r="D69" s="531" t="s">
        <v>942</v>
      </c>
      <c r="E69" s="477" t="b">
        <v>0</v>
      </c>
      <c r="F69" s="533"/>
      <c r="G69" s="534">
        <v>64.0</v>
      </c>
      <c r="H69" s="535">
        <v>64.0</v>
      </c>
      <c r="I69" s="536" t="s">
        <v>943</v>
      </c>
      <c r="J69" s="537" t="s">
        <v>942</v>
      </c>
      <c r="K69" s="596"/>
      <c r="L69" s="543"/>
      <c r="M69" s="477" t="b">
        <v>1</v>
      </c>
      <c r="N69" s="541"/>
      <c r="O69" s="541"/>
    </row>
    <row r="70">
      <c r="A70" s="531" t="s">
        <v>944</v>
      </c>
      <c r="B70" s="474"/>
      <c r="C70" s="532">
        <v>65.0</v>
      </c>
      <c r="D70" s="531" t="s">
        <v>945</v>
      </c>
      <c r="E70" s="477" t="b">
        <v>0</v>
      </c>
      <c r="F70" s="533"/>
      <c r="G70" s="534">
        <v>65.0</v>
      </c>
      <c r="H70" s="535">
        <v>65.0</v>
      </c>
      <c r="I70" s="536" t="s">
        <v>946</v>
      </c>
      <c r="J70" s="537" t="s">
        <v>945</v>
      </c>
      <c r="K70" s="596"/>
      <c r="L70" s="543"/>
      <c r="M70" s="477" t="b">
        <v>1</v>
      </c>
      <c r="N70" s="541"/>
      <c r="O70" s="541"/>
    </row>
    <row r="71">
      <c r="A71" s="531"/>
      <c r="B71" s="474"/>
      <c r="C71" s="576">
        <v>66.0</v>
      </c>
      <c r="D71" s="531"/>
      <c r="E71" s="477" t="b">
        <v>0</v>
      </c>
      <c r="F71" s="533"/>
      <c r="G71" s="534">
        <v>66.0</v>
      </c>
      <c r="H71" s="535"/>
      <c r="I71" s="536" t="s">
        <v>947</v>
      </c>
      <c r="J71" s="537"/>
      <c r="K71" s="596"/>
      <c r="L71" s="543"/>
      <c r="M71" s="477" t="b">
        <v>1</v>
      </c>
      <c r="N71" s="541"/>
      <c r="O71" s="541"/>
    </row>
    <row r="72">
      <c r="A72" s="544"/>
      <c r="B72" s="474"/>
      <c r="C72" s="532">
        <v>67.0</v>
      </c>
      <c r="D72" s="544"/>
      <c r="E72" s="477" t="b">
        <v>0</v>
      </c>
      <c r="F72" s="533"/>
      <c r="G72" s="534">
        <v>67.0</v>
      </c>
      <c r="H72" s="535">
        <v>73.0</v>
      </c>
      <c r="I72" s="536" t="s">
        <v>948</v>
      </c>
      <c r="J72" s="537" t="s">
        <v>535</v>
      </c>
      <c r="K72" s="596"/>
      <c r="L72" s="543"/>
      <c r="M72" s="477" t="b">
        <v>1</v>
      </c>
      <c r="N72" s="541"/>
      <c r="O72" s="541"/>
    </row>
    <row r="73">
      <c r="A73" s="544"/>
      <c r="B73" s="474"/>
      <c r="C73" s="576">
        <v>68.0</v>
      </c>
      <c r="D73" s="544"/>
      <c r="E73" s="477" t="b">
        <v>0</v>
      </c>
      <c r="F73" s="533"/>
      <c r="G73" s="534">
        <v>68.0</v>
      </c>
      <c r="H73" s="535">
        <v>74.0</v>
      </c>
      <c r="I73" s="536" t="s">
        <v>949</v>
      </c>
      <c r="J73" s="537" t="s">
        <v>950</v>
      </c>
      <c r="K73" s="596"/>
      <c r="L73" s="543"/>
      <c r="M73" s="477" t="b">
        <v>1</v>
      </c>
      <c r="N73" s="541"/>
      <c r="O73" s="541"/>
    </row>
    <row r="74">
      <c r="A74" s="544"/>
      <c r="B74" s="474"/>
      <c r="C74" s="532">
        <v>69.0</v>
      </c>
      <c r="D74" s="544"/>
      <c r="E74" s="477" t="b">
        <v>0</v>
      </c>
      <c r="F74" s="533"/>
      <c r="G74" s="532">
        <v>69.0</v>
      </c>
      <c r="H74" s="544"/>
      <c r="I74" s="597"/>
      <c r="J74" s="598"/>
      <c r="K74" s="599"/>
      <c r="L74" s="543"/>
      <c r="M74" s="477" t="b">
        <v>0</v>
      </c>
      <c r="N74" s="541"/>
      <c r="O74" s="541"/>
    </row>
    <row r="75">
      <c r="A75" s="531"/>
      <c r="B75" s="474"/>
      <c r="C75" s="532">
        <v>70.0</v>
      </c>
      <c r="D75" s="531"/>
      <c r="E75" s="477" t="b">
        <v>0</v>
      </c>
      <c r="F75" s="533"/>
      <c r="G75" s="532">
        <v>70.0</v>
      </c>
      <c r="H75" s="531"/>
      <c r="I75" s="597"/>
      <c r="J75" s="600"/>
      <c r="K75" s="601"/>
      <c r="L75" s="543"/>
      <c r="M75" s="477" t="b">
        <v>0</v>
      </c>
      <c r="N75" s="541"/>
      <c r="O75" s="541"/>
    </row>
    <row r="76">
      <c r="A76" s="531" t="s">
        <v>531</v>
      </c>
      <c r="B76" s="474"/>
      <c r="C76" s="576">
        <v>71.0</v>
      </c>
      <c r="D76" s="531" t="s">
        <v>858</v>
      </c>
      <c r="E76" s="477" t="b">
        <v>0</v>
      </c>
      <c r="F76" s="533"/>
      <c r="G76" s="532">
        <v>71.0</v>
      </c>
      <c r="H76" s="531"/>
      <c r="I76" s="573"/>
      <c r="J76" s="575"/>
      <c r="K76" s="601"/>
      <c r="L76" s="543"/>
      <c r="M76" s="477" t="b">
        <v>0</v>
      </c>
      <c r="N76" s="541"/>
      <c r="O76" s="541"/>
    </row>
    <row r="77">
      <c r="A77" s="531" t="s">
        <v>531</v>
      </c>
      <c r="B77" s="474"/>
      <c r="C77" s="532">
        <v>72.0</v>
      </c>
      <c r="D77" s="531" t="s">
        <v>860</v>
      </c>
      <c r="E77" s="477" t="b">
        <v>0</v>
      </c>
      <c r="F77" s="533"/>
      <c r="G77" s="532">
        <v>72.0</v>
      </c>
      <c r="H77" s="531"/>
      <c r="I77" s="602"/>
      <c r="J77" s="575"/>
      <c r="K77" s="599"/>
      <c r="L77" s="543"/>
      <c r="M77" s="477" t="b">
        <v>0</v>
      </c>
      <c r="N77" s="541"/>
      <c r="O77" s="541"/>
    </row>
    <row r="78">
      <c r="A78" s="531" t="s">
        <v>531</v>
      </c>
      <c r="B78" s="474"/>
      <c r="C78" s="576">
        <v>73.0</v>
      </c>
      <c r="D78" s="531" t="s">
        <v>535</v>
      </c>
      <c r="E78" s="477" t="b">
        <v>0</v>
      </c>
      <c r="F78" s="533"/>
      <c r="G78" s="532">
        <v>73.0</v>
      </c>
      <c r="H78" s="531"/>
      <c r="I78" s="602"/>
      <c r="J78" s="575"/>
      <c r="K78" s="599"/>
      <c r="L78" s="543"/>
      <c r="M78" s="477" t="b">
        <v>0</v>
      </c>
      <c r="N78" s="541"/>
      <c r="O78" s="541"/>
    </row>
    <row r="79">
      <c r="A79" s="531" t="s">
        <v>531</v>
      </c>
      <c r="B79" s="474"/>
      <c r="C79" s="532">
        <v>74.0</v>
      </c>
      <c r="D79" s="531" t="s">
        <v>950</v>
      </c>
      <c r="E79" s="477" t="b">
        <v>0</v>
      </c>
      <c r="F79" s="533"/>
      <c r="G79" s="532">
        <v>74.0</v>
      </c>
      <c r="H79" s="531"/>
      <c r="I79" s="602"/>
      <c r="J79" s="575"/>
      <c r="K79" s="599"/>
      <c r="L79" s="543"/>
      <c r="M79" s="477" t="b">
        <v>0</v>
      </c>
      <c r="N79" s="541"/>
      <c r="O79" s="541"/>
    </row>
    <row r="80">
      <c r="A80" s="531"/>
      <c r="B80" s="474"/>
      <c r="C80" s="576">
        <v>75.0</v>
      </c>
      <c r="D80" s="531"/>
      <c r="E80" s="477" t="b">
        <v>0</v>
      </c>
      <c r="F80" s="533"/>
      <c r="G80" s="532">
        <v>75.0</v>
      </c>
      <c r="H80" s="544"/>
      <c r="I80" s="531"/>
      <c r="J80" s="546"/>
      <c r="K80" s="599"/>
      <c r="L80" s="543"/>
      <c r="M80" s="477" t="b">
        <v>0</v>
      </c>
      <c r="N80" s="541"/>
      <c r="O80" s="541"/>
    </row>
    <row r="81">
      <c r="A81" s="531" t="s">
        <v>243</v>
      </c>
      <c r="B81" s="474"/>
      <c r="C81" s="532">
        <v>76.0</v>
      </c>
      <c r="D81" s="531" t="s">
        <v>951</v>
      </c>
      <c r="E81" s="477" t="b">
        <v>0</v>
      </c>
      <c r="F81" s="533"/>
      <c r="G81" s="532">
        <v>76.0</v>
      </c>
      <c r="H81" s="531">
        <v>61.0</v>
      </c>
      <c r="I81" s="531" t="s">
        <v>531</v>
      </c>
      <c r="J81" s="546" t="s">
        <v>933</v>
      </c>
      <c r="K81" s="599"/>
      <c r="L81" s="543"/>
      <c r="M81" s="477" t="b">
        <v>0</v>
      </c>
      <c r="N81" s="541"/>
      <c r="O81" s="541"/>
    </row>
    <row r="82">
      <c r="A82" s="531" t="s">
        <v>243</v>
      </c>
      <c r="B82" s="474"/>
      <c r="C82" s="576">
        <v>77.0</v>
      </c>
      <c r="D82" s="531" t="s">
        <v>952</v>
      </c>
      <c r="E82" s="477" t="b">
        <v>0</v>
      </c>
      <c r="F82" s="533"/>
      <c r="G82" s="532">
        <v>77.0</v>
      </c>
      <c r="H82" s="531">
        <v>62.0</v>
      </c>
      <c r="I82" s="531" t="s">
        <v>531</v>
      </c>
      <c r="J82" s="546" t="s">
        <v>936</v>
      </c>
      <c r="K82" s="599"/>
      <c r="L82" s="543"/>
      <c r="M82" s="477" t="b">
        <v>0</v>
      </c>
      <c r="N82" s="541"/>
      <c r="O82" s="541"/>
    </row>
    <row r="83">
      <c r="A83" s="531" t="s">
        <v>243</v>
      </c>
      <c r="B83" s="474"/>
      <c r="C83" s="532">
        <v>78.0</v>
      </c>
      <c r="D83" s="531" t="s">
        <v>953</v>
      </c>
      <c r="E83" s="477" t="b">
        <v>0</v>
      </c>
      <c r="F83" s="533"/>
      <c r="G83" s="532">
        <v>78.0</v>
      </c>
      <c r="H83" s="531">
        <v>63.0</v>
      </c>
      <c r="I83" s="531" t="s">
        <v>531</v>
      </c>
      <c r="J83" s="546" t="s">
        <v>939</v>
      </c>
      <c r="K83" s="599"/>
      <c r="L83" s="543"/>
      <c r="M83" s="477" t="b">
        <v>0</v>
      </c>
      <c r="N83" s="541"/>
      <c r="O83" s="541"/>
    </row>
    <row r="84">
      <c r="A84" s="531" t="s">
        <v>243</v>
      </c>
      <c r="B84" s="474"/>
      <c r="C84" s="576">
        <v>79.0</v>
      </c>
      <c r="D84" s="531" t="s">
        <v>954</v>
      </c>
      <c r="E84" s="477" t="b">
        <v>0</v>
      </c>
      <c r="F84" s="533"/>
      <c r="G84" s="532">
        <v>79.0</v>
      </c>
      <c r="H84" s="531">
        <v>64.0</v>
      </c>
      <c r="I84" s="531" t="s">
        <v>531</v>
      </c>
      <c r="J84" s="546" t="s">
        <v>942</v>
      </c>
      <c r="K84" s="599"/>
      <c r="L84" s="543"/>
      <c r="M84" s="477" t="b">
        <v>0</v>
      </c>
      <c r="N84" s="541"/>
      <c r="O84" s="541"/>
    </row>
    <row r="85">
      <c r="A85" s="531" t="s">
        <v>243</v>
      </c>
      <c r="B85" s="474"/>
      <c r="C85" s="476">
        <v>80.0</v>
      </c>
      <c r="D85" s="531" t="s">
        <v>955</v>
      </c>
      <c r="E85" s="477" t="b">
        <v>0</v>
      </c>
      <c r="F85" s="603"/>
      <c r="G85" s="532">
        <v>80.0</v>
      </c>
      <c r="H85" s="531">
        <v>65.0</v>
      </c>
      <c r="I85" s="531" t="s">
        <v>531</v>
      </c>
      <c r="J85" s="531" t="s">
        <v>945</v>
      </c>
      <c r="K85" s="604"/>
      <c r="L85" s="583"/>
      <c r="M85" s="477" t="b">
        <v>0</v>
      </c>
      <c r="N85" s="485"/>
      <c r="O85" s="485"/>
    </row>
  </sheetData>
  <mergeCells count="6">
    <mergeCell ref="A1:O2"/>
    <mergeCell ref="A3:O3"/>
    <mergeCell ref="A4:D4"/>
    <mergeCell ref="G4:N4"/>
    <mergeCell ref="I56:I65"/>
    <mergeCell ref="K56:K65"/>
  </mergeCells>
  <conditionalFormatting sqref="E6:E85 M6:M85">
    <cfRule type="cellIs" dxfId="5" priority="1" operator="equal">
      <formula>"True"</formula>
    </cfRule>
  </conditionalFormatting>
  <conditionalFormatting sqref="E6:E85 M6:M85">
    <cfRule type="cellIs" dxfId="9" priority="2" operator="equal">
      <formula>"False"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.75"/>
    <col customWidth="1" min="4" max="4" width="17.88"/>
    <col customWidth="1" min="5" max="5" width="6.5"/>
    <col customWidth="1" min="6" max="6" width="4.88"/>
    <col customWidth="1" min="9" max="9" width="18.0"/>
    <col customWidth="1" min="10" max="10" width="14.38"/>
    <col customWidth="1" min="11" max="11" width="8.88"/>
    <col customWidth="1" min="13" max="13" width="6.5"/>
    <col customWidth="1" min="18" max="18" width="17.88"/>
    <col customWidth="1" min="19" max="19" width="24.13"/>
    <col customWidth="1" min="20" max="20" width="18.38"/>
    <col customWidth="1" min="23" max="23" width="16.38"/>
    <col customWidth="1" min="24" max="24" width="17.75"/>
    <col customWidth="1" min="25" max="25" width="19.0"/>
    <col customWidth="1" min="26" max="26" width="21.75"/>
  </cols>
  <sheetData>
    <row r="1">
      <c r="A1" s="605" t="s">
        <v>956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7"/>
      <c r="P1" s="608"/>
      <c r="Q1" s="609" t="s">
        <v>957</v>
      </c>
      <c r="R1" s="173"/>
      <c r="S1" s="173"/>
      <c r="T1" s="174"/>
      <c r="U1" s="610"/>
      <c r="V1" s="611"/>
      <c r="W1" s="611"/>
      <c r="X1" s="611"/>
      <c r="Y1" s="611"/>
      <c r="Z1" s="611"/>
      <c r="AA1" s="612"/>
    </row>
    <row r="2">
      <c r="A2" s="464" t="s">
        <v>734</v>
      </c>
      <c r="B2" s="465"/>
      <c r="C2" s="465"/>
      <c r="D2" s="465"/>
      <c r="E2" s="69"/>
      <c r="F2" s="466"/>
      <c r="G2" s="467" t="s">
        <v>735</v>
      </c>
      <c r="H2" s="465"/>
      <c r="I2" s="465"/>
      <c r="J2" s="69"/>
      <c r="K2" s="613"/>
      <c r="L2" s="614"/>
      <c r="M2" s="614"/>
      <c r="N2" s="614"/>
      <c r="O2" s="614"/>
      <c r="P2" s="610"/>
      <c r="Q2" s="615" t="s">
        <v>958</v>
      </c>
      <c r="R2" s="173"/>
      <c r="S2" s="173"/>
      <c r="T2" s="174"/>
      <c r="U2" s="610"/>
      <c r="V2" s="611"/>
      <c r="W2" s="611"/>
      <c r="X2" s="611"/>
      <c r="Y2" s="611"/>
      <c r="Z2" s="611"/>
      <c r="AA2" s="612"/>
    </row>
    <row r="3">
      <c r="A3" s="469" t="s">
        <v>737</v>
      </c>
      <c r="B3" s="469"/>
      <c r="C3" s="470" t="s">
        <v>738</v>
      </c>
      <c r="D3" s="469" t="s">
        <v>739</v>
      </c>
      <c r="E3" s="471" t="s">
        <v>740</v>
      </c>
      <c r="F3" s="466"/>
      <c r="G3" s="472" t="s">
        <v>741</v>
      </c>
      <c r="H3" s="472" t="s">
        <v>738</v>
      </c>
      <c r="I3" s="469" t="s">
        <v>742</v>
      </c>
      <c r="J3" s="472" t="s">
        <v>739</v>
      </c>
      <c r="K3" s="616" t="s">
        <v>959</v>
      </c>
      <c r="L3" s="617" t="s">
        <v>960</v>
      </c>
      <c r="M3" s="471" t="s">
        <v>740</v>
      </c>
      <c r="N3" s="618" t="s">
        <v>186</v>
      </c>
      <c r="O3" s="618" t="s">
        <v>70</v>
      </c>
      <c r="P3" s="619"/>
      <c r="Q3" s="620" t="s">
        <v>961</v>
      </c>
      <c r="R3" s="621" t="s">
        <v>962</v>
      </c>
      <c r="S3" s="622" t="s">
        <v>963</v>
      </c>
      <c r="T3" s="620" t="s">
        <v>70</v>
      </c>
      <c r="U3" s="610"/>
      <c r="V3" s="611"/>
      <c r="W3" s="611"/>
      <c r="X3" s="611"/>
      <c r="Y3" s="611"/>
      <c r="Z3" s="611"/>
      <c r="AA3" s="612"/>
    </row>
    <row r="4">
      <c r="A4" s="476" t="s">
        <v>964</v>
      </c>
      <c r="B4" s="474"/>
      <c r="C4" s="475">
        <v>1.0</v>
      </c>
      <c r="D4" s="473" t="s">
        <v>898</v>
      </c>
      <c r="E4" s="477" t="b">
        <v>0</v>
      </c>
      <c r="F4" s="466"/>
      <c r="G4" s="476">
        <v>1.0</v>
      </c>
      <c r="H4" s="623">
        <v>1.0</v>
      </c>
      <c r="I4" s="476" t="s">
        <v>965</v>
      </c>
      <c r="J4" s="473" t="s">
        <v>898</v>
      </c>
      <c r="K4" s="624"/>
      <c r="L4" s="625"/>
      <c r="M4" s="477" t="b">
        <v>0</v>
      </c>
      <c r="N4" s="485"/>
      <c r="O4" s="485"/>
      <c r="P4" s="610"/>
      <c r="Q4" s="620">
        <v>1.0</v>
      </c>
      <c r="R4" s="626" t="s">
        <v>898</v>
      </c>
      <c r="S4" s="626" t="s">
        <v>966</v>
      </c>
      <c r="T4" s="626" t="s">
        <v>764</v>
      </c>
      <c r="U4" s="610"/>
      <c r="V4" s="611"/>
      <c r="W4" s="611"/>
      <c r="X4" s="611"/>
      <c r="Y4" s="611"/>
      <c r="Z4" s="611"/>
      <c r="AA4" s="612"/>
    </row>
    <row r="5">
      <c r="A5" s="476" t="s">
        <v>967</v>
      </c>
      <c r="B5" s="474"/>
      <c r="C5" s="475">
        <v>2.0</v>
      </c>
      <c r="D5" s="473" t="s">
        <v>901</v>
      </c>
      <c r="E5" s="477" t="b">
        <v>0</v>
      </c>
      <c r="F5" s="466"/>
      <c r="G5" s="476">
        <v>2.0</v>
      </c>
      <c r="H5" s="473">
        <v>2.0</v>
      </c>
      <c r="I5" s="476" t="s">
        <v>968</v>
      </c>
      <c r="J5" s="473" t="s">
        <v>901</v>
      </c>
      <c r="K5" s="625"/>
      <c r="L5" s="625"/>
      <c r="M5" s="477" t="b">
        <v>0</v>
      </c>
      <c r="N5" s="485"/>
      <c r="O5" s="485"/>
      <c r="P5" s="610"/>
      <c r="Q5" s="620">
        <v>2.0</v>
      </c>
      <c r="R5" s="626" t="s">
        <v>901</v>
      </c>
      <c r="S5" s="626" t="s">
        <v>969</v>
      </c>
      <c r="T5" s="626" t="s">
        <v>764</v>
      </c>
      <c r="U5" s="610"/>
      <c r="V5" s="611"/>
      <c r="W5" s="611"/>
      <c r="X5" s="611"/>
      <c r="Y5" s="611"/>
      <c r="Z5" s="611"/>
      <c r="AA5" s="612"/>
    </row>
    <row r="6">
      <c r="A6" s="476" t="s">
        <v>970</v>
      </c>
      <c r="B6" s="474"/>
      <c r="C6" s="475">
        <v>3.0</v>
      </c>
      <c r="D6" s="473" t="s">
        <v>903</v>
      </c>
      <c r="E6" s="477" t="b">
        <v>0</v>
      </c>
      <c r="F6" s="466"/>
      <c r="G6" s="476">
        <v>3.0</v>
      </c>
      <c r="H6" s="473">
        <v>3.0</v>
      </c>
      <c r="I6" s="476" t="s">
        <v>971</v>
      </c>
      <c r="J6" s="473" t="s">
        <v>903</v>
      </c>
      <c r="K6" s="625"/>
      <c r="L6" s="625"/>
      <c r="M6" s="477" t="b">
        <v>0</v>
      </c>
      <c r="N6" s="485"/>
      <c r="O6" s="485"/>
      <c r="P6" s="610"/>
      <c r="Q6" s="620">
        <v>3.0</v>
      </c>
      <c r="R6" s="626" t="s">
        <v>903</v>
      </c>
      <c r="S6" s="626" t="s">
        <v>972</v>
      </c>
      <c r="T6" s="626" t="s">
        <v>764</v>
      </c>
      <c r="U6" s="610"/>
      <c r="V6" s="611"/>
      <c r="W6" s="611"/>
      <c r="X6" s="611"/>
      <c r="Y6" s="611"/>
      <c r="Z6" s="611"/>
      <c r="AA6" s="612"/>
    </row>
    <row r="7">
      <c r="A7" s="476" t="s">
        <v>973</v>
      </c>
      <c r="B7" s="474"/>
      <c r="C7" s="475">
        <v>4.0</v>
      </c>
      <c r="D7" s="473" t="s">
        <v>905</v>
      </c>
      <c r="E7" s="477" t="b">
        <v>0</v>
      </c>
      <c r="F7" s="466"/>
      <c r="G7" s="476">
        <v>4.0</v>
      </c>
      <c r="H7" s="473">
        <v>4.0</v>
      </c>
      <c r="I7" s="476" t="s">
        <v>974</v>
      </c>
      <c r="J7" s="473" t="s">
        <v>905</v>
      </c>
      <c r="K7" s="625"/>
      <c r="L7" s="625"/>
      <c r="M7" s="477" t="b">
        <v>0</v>
      </c>
      <c r="N7" s="485"/>
      <c r="O7" s="485"/>
      <c r="P7" s="610"/>
      <c r="Q7" s="620">
        <v>4.0</v>
      </c>
      <c r="R7" s="626" t="s">
        <v>905</v>
      </c>
      <c r="S7" s="626" t="s">
        <v>975</v>
      </c>
      <c r="T7" s="626" t="s">
        <v>764</v>
      </c>
      <c r="U7" s="610"/>
      <c r="V7" s="611"/>
      <c r="W7" s="611"/>
      <c r="X7" s="611"/>
      <c r="Y7" s="611"/>
      <c r="Z7" s="611"/>
      <c r="AA7" s="612"/>
    </row>
    <row r="8">
      <c r="A8" s="532" t="s">
        <v>976</v>
      </c>
      <c r="B8" s="474"/>
      <c r="C8" s="475">
        <v>5.0</v>
      </c>
      <c r="D8" s="473" t="s">
        <v>907</v>
      </c>
      <c r="E8" s="477" t="b">
        <v>0</v>
      </c>
      <c r="F8" s="466"/>
      <c r="G8" s="476">
        <v>5.0</v>
      </c>
      <c r="H8" s="473">
        <v>5.0</v>
      </c>
      <c r="I8" s="473" t="s">
        <v>977</v>
      </c>
      <c r="J8" s="473" t="s">
        <v>907</v>
      </c>
      <c r="K8" s="625"/>
      <c r="L8" s="625"/>
      <c r="M8" s="477" t="b">
        <v>0</v>
      </c>
      <c r="N8" s="485"/>
      <c r="O8" s="485"/>
      <c r="P8" s="610"/>
      <c r="Q8" s="620">
        <v>5.0</v>
      </c>
      <c r="R8" s="626" t="s">
        <v>907</v>
      </c>
      <c r="S8" s="626" t="s">
        <v>978</v>
      </c>
      <c r="T8" s="626" t="s">
        <v>764</v>
      </c>
      <c r="U8" s="610"/>
      <c r="V8" s="611"/>
      <c r="W8" s="611"/>
      <c r="X8" s="611"/>
      <c r="Y8" s="611"/>
      <c r="Z8" s="611"/>
      <c r="AA8" s="612"/>
    </row>
    <row r="9">
      <c r="A9" s="473" t="s">
        <v>979</v>
      </c>
      <c r="B9" s="474"/>
      <c r="C9" s="475">
        <v>6.0</v>
      </c>
      <c r="D9" s="473" t="s">
        <v>980</v>
      </c>
      <c r="E9" s="477" t="b">
        <v>0</v>
      </c>
      <c r="F9" s="466"/>
      <c r="G9" s="476">
        <v>6.0</v>
      </c>
      <c r="H9" s="473">
        <v>11.0</v>
      </c>
      <c r="I9" s="476" t="s">
        <v>981</v>
      </c>
      <c r="J9" s="473" t="s">
        <v>909</v>
      </c>
      <c r="K9" s="625"/>
      <c r="L9" s="625"/>
      <c r="M9" s="477" t="b">
        <v>0</v>
      </c>
      <c r="N9" s="485"/>
      <c r="O9" s="485"/>
      <c r="P9" s="610"/>
      <c r="Q9" s="620">
        <v>6.0</v>
      </c>
      <c r="R9" s="626"/>
      <c r="S9" s="626"/>
      <c r="T9" s="627"/>
      <c r="U9" s="610"/>
      <c r="V9" s="611"/>
      <c r="W9" s="611"/>
      <c r="X9" s="611"/>
      <c r="Y9" s="611"/>
      <c r="Z9" s="611"/>
      <c r="AA9" s="612"/>
    </row>
    <row r="10">
      <c r="A10" s="473" t="s">
        <v>982</v>
      </c>
      <c r="B10" s="474"/>
      <c r="C10" s="475">
        <v>7.0</v>
      </c>
      <c r="D10" s="473" t="s">
        <v>983</v>
      </c>
      <c r="E10" s="477" t="b">
        <v>0</v>
      </c>
      <c r="F10" s="466"/>
      <c r="G10" s="476">
        <v>7.0</v>
      </c>
      <c r="H10" s="473">
        <v>12.0</v>
      </c>
      <c r="I10" s="476" t="s">
        <v>984</v>
      </c>
      <c r="J10" s="473" t="s">
        <v>985</v>
      </c>
      <c r="K10" s="625"/>
      <c r="L10" s="625"/>
      <c r="M10" s="477" t="b">
        <v>0</v>
      </c>
      <c r="N10" s="485"/>
      <c r="O10" s="485"/>
      <c r="P10" s="610"/>
      <c r="Q10" s="620">
        <v>7.0</v>
      </c>
      <c r="R10" s="626"/>
      <c r="S10" s="626"/>
      <c r="T10" s="626"/>
      <c r="U10" s="610"/>
      <c r="V10" s="611"/>
      <c r="W10" s="611"/>
      <c r="X10" s="611"/>
      <c r="Y10" s="611"/>
      <c r="Z10" s="611"/>
      <c r="AA10" s="612"/>
    </row>
    <row r="11">
      <c r="A11" s="473" t="s">
        <v>986</v>
      </c>
      <c r="B11" s="474"/>
      <c r="C11" s="475">
        <v>8.0</v>
      </c>
      <c r="D11" s="473" t="s">
        <v>987</v>
      </c>
      <c r="E11" s="477" t="b">
        <v>0</v>
      </c>
      <c r="F11" s="466"/>
      <c r="G11" s="476">
        <v>8.0</v>
      </c>
      <c r="H11" s="473">
        <v>13.0</v>
      </c>
      <c r="I11" s="476" t="s">
        <v>988</v>
      </c>
      <c r="J11" s="473" t="s">
        <v>989</v>
      </c>
      <c r="K11" s="625"/>
      <c r="L11" s="625"/>
      <c r="M11" s="477" t="b">
        <v>0</v>
      </c>
      <c r="N11" s="485"/>
      <c r="O11" s="485"/>
      <c r="P11" s="610"/>
      <c r="Q11" s="620">
        <v>8.0</v>
      </c>
      <c r="R11" s="626"/>
      <c r="S11" s="626"/>
      <c r="T11" s="626"/>
      <c r="U11" s="610"/>
      <c r="V11" s="611"/>
      <c r="W11" s="611"/>
      <c r="X11" s="611"/>
      <c r="Y11" s="611"/>
      <c r="Z11" s="611"/>
      <c r="AA11" s="612"/>
    </row>
    <row r="12">
      <c r="A12" s="473" t="s">
        <v>990</v>
      </c>
      <c r="B12" s="474"/>
      <c r="C12" s="475">
        <v>9.0</v>
      </c>
      <c r="D12" s="473" t="s">
        <v>991</v>
      </c>
      <c r="E12" s="477" t="b">
        <v>0</v>
      </c>
      <c r="F12" s="466"/>
      <c r="G12" s="476">
        <v>9.0</v>
      </c>
      <c r="H12" s="473">
        <v>14.0</v>
      </c>
      <c r="I12" s="476" t="s">
        <v>992</v>
      </c>
      <c r="J12" s="473" t="s">
        <v>993</v>
      </c>
      <c r="K12" s="625"/>
      <c r="L12" s="625"/>
      <c r="M12" s="477" t="b">
        <v>0</v>
      </c>
      <c r="N12" s="485"/>
      <c r="O12" s="485"/>
      <c r="P12" s="610"/>
      <c r="Q12" s="620">
        <v>9.0</v>
      </c>
      <c r="R12" s="626"/>
      <c r="S12" s="626"/>
      <c r="T12" s="626"/>
      <c r="U12" s="610"/>
      <c r="V12" s="611"/>
      <c r="W12" s="611"/>
      <c r="X12" s="611"/>
      <c r="Y12" s="611"/>
      <c r="Z12" s="611"/>
      <c r="AA12" s="612"/>
    </row>
    <row r="13">
      <c r="A13" s="628" t="s">
        <v>994</v>
      </c>
      <c r="B13" s="629"/>
      <c r="C13" s="630">
        <v>10.0</v>
      </c>
      <c r="D13" s="628" t="s">
        <v>995</v>
      </c>
      <c r="E13" s="631" t="b">
        <v>0</v>
      </c>
      <c r="F13" s="632"/>
      <c r="G13" s="633">
        <v>10.0</v>
      </c>
      <c r="H13" s="628">
        <v>15.0</v>
      </c>
      <c r="I13" s="633" t="s">
        <v>996</v>
      </c>
      <c r="J13" s="628" t="s">
        <v>997</v>
      </c>
      <c r="K13" s="634"/>
      <c r="L13" s="634"/>
      <c r="M13" s="477" t="b">
        <v>0</v>
      </c>
      <c r="N13" s="635"/>
      <c r="O13" s="635"/>
      <c r="P13" s="610"/>
      <c r="Q13" s="620">
        <v>10.0</v>
      </c>
      <c r="R13" s="626"/>
      <c r="S13" s="626"/>
      <c r="T13" s="626"/>
      <c r="U13" s="610"/>
      <c r="V13" s="611"/>
      <c r="W13" s="611"/>
      <c r="X13" s="611"/>
      <c r="Y13" s="611"/>
      <c r="Z13" s="611"/>
      <c r="AA13" s="612"/>
    </row>
    <row r="14">
      <c r="A14" s="473" t="s">
        <v>998</v>
      </c>
      <c r="B14" s="636"/>
      <c r="C14" s="475">
        <v>11.0</v>
      </c>
      <c r="D14" s="473" t="s">
        <v>909</v>
      </c>
      <c r="E14" s="555" t="b">
        <v>0</v>
      </c>
      <c r="F14" s="466"/>
      <c r="G14" s="476">
        <v>11.0</v>
      </c>
      <c r="H14" s="473">
        <v>1.0</v>
      </c>
      <c r="I14" s="473" t="s">
        <v>999</v>
      </c>
      <c r="J14" s="473" t="s">
        <v>898</v>
      </c>
      <c r="K14" s="625"/>
      <c r="L14" s="625"/>
      <c r="M14" s="477" t="b">
        <v>1</v>
      </c>
      <c r="N14" s="485"/>
      <c r="O14" s="485"/>
      <c r="P14" s="610"/>
      <c r="Q14" s="620">
        <v>11.0</v>
      </c>
      <c r="R14" s="626"/>
      <c r="S14" s="626"/>
      <c r="T14" s="626"/>
      <c r="U14" s="610"/>
      <c r="V14" s="611"/>
      <c r="W14" s="611"/>
      <c r="X14" s="611"/>
      <c r="Y14" s="611"/>
      <c r="Z14" s="611"/>
      <c r="AA14" s="612"/>
    </row>
    <row r="15">
      <c r="A15" s="473" t="s">
        <v>1000</v>
      </c>
      <c r="B15" s="476"/>
      <c r="C15" s="475">
        <v>12.0</v>
      </c>
      <c r="D15" s="473" t="s">
        <v>985</v>
      </c>
      <c r="E15" s="477" t="b">
        <v>0</v>
      </c>
      <c r="F15" s="466"/>
      <c r="G15" s="476">
        <v>12.0</v>
      </c>
      <c r="H15" s="473">
        <v>2.0</v>
      </c>
      <c r="I15" s="473" t="s">
        <v>1001</v>
      </c>
      <c r="J15" s="473" t="s">
        <v>901</v>
      </c>
      <c r="K15" s="625"/>
      <c r="L15" s="625"/>
      <c r="M15" s="477" t="b">
        <v>1</v>
      </c>
      <c r="N15" s="485"/>
      <c r="O15" s="485"/>
      <c r="P15" s="610"/>
      <c r="Q15" s="620">
        <v>12.0</v>
      </c>
      <c r="R15" s="637" t="s">
        <v>1002</v>
      </c>
      <c r="S15" s="638" t="s">
        <v>1003</v>
      </c>
      <c r="T15" s="638" t="s">
        <v>1004</v>
      </c>
      <c r="U15" s="610"/>
      <c r="V15" s="611"/>
      <c r="W15" s="611"/>
      <c r="X15" s="611"/>
      <c r="Y15" s="611"/>
      <c r="Z15" s="611"/>
      <c r="AA15" s="612"/>
    </row>
    <row r="16">
      <c r="A16" s="473" t="s">
        <v>1005</v>
      </c>
      <c r="B16" s="476"/>
      <c r="C16" s="475">
        <v>13.0</v>
      </c>
      <c r="D16" s="473" t="s">
        <v>989</v>
      </c>
      <c r="E16" s="477" t="b">
        <v>0</v>
      </c>
      <c r="F16" s="466"/>
      <c r="G16" s="476">
        <v>13.0</v>
      </c>
      <c r="H16" s="473">
        <v>3.0</v>
      </c>
      <c r="I16" s="473" t="s">
        <v>1006</v>
      </c>
      <c r="J16" s="473" t="s">
        <v>903</v>
      </c>
      <c r="K16" s="625"/>
      <c r="L16" s="625"/>
      <c r="M16" s="477" t="b">
        <v>1</v>
      </c>
      <c r="N16" s="485"/>
      <c r="O16" s="485"/>
      <c r="P16" s="610"/>
      <c r="Q16" s="620">
        <v>13.0</v>
      </c>
      <c r="R16" s="637" t="s">
        <v>550</v>
      </c>
      <c r="S16" s="638" t="s">
        <v>1007</v>
      </c>
      <c r="T16" s="638" t="s">
        <v>1008</v>
      </c>
      <c r="U16" s="610"/>
      <c r="V16" s="611"/>
      <c r="W16" s="611"/>
      <c r="X16" s="611"/>
      <c r="Y16" s="611"/>
      <c r="Z16" s="611"/>
      <c r="AA16" s="612"/>
    </row>
    <row r="17">
      <c r="A17" s="473" t="s">
        <v>1009</v>
      </c>
      <c r="B17" s="476"/>
      <c r="C17" s="475">
        <v>14.0</v>
      </c>
      <c r="D17" s="473" t="s">
        <v>993</v>
      </c>
      <c r="E17" s="477" t="b">
        <v>0</v>
      </c>
      <c r="F17" s="466"/>
      <c r="G17" s="476">
        <v>14.0</v>
      </c>
      <c r="H17" s="473">
        <v>4.0</v>
      </c>
      <c r="I17" s="473" t="s">
        <v>1010</v>
      </c>
      <c r="J17" s="473" t="s">
        <v>905</v>
      </c>
      <c r="K17" s="625"/>
      <c r="L17" s="625"/>
      <c r="M17" s="477" t="b">
        <v>1</v>
      </c>
      <c r="N17" s="485"/>
      <c r="O17" s="485"/>
      <c r="P17" s="610"/>
      <c r="Q17" s="620">
        <v>14.0</v>
      </c>
      <c r="R17" s="637" t="s">
        <v>558</v>
      </c>
      <c r="S17" s="638" t="s">
        <v>1011</v>
      </c>
      <c r="T17" s="638" t="s">
        <v>1012</v>
      </c>
      <c r="U17" s="610"/>
      <c r="V17" s="611"/>
      <c r="W17" s="611"/>
      <c r="X17" s="611"/>
      <c r="Y17" s="611"/>
      <c r="Z17" s="611"/>
      <c r="AA17" s="612"/>
    </row>
    <row r="18">
      <c r="A18" s="473" t="s">
        <v>1013</v>
      </c>
      <c r="B18" s="476"/>
      <c r="C18" s="475">
        <v>15.0</v>
      </c>
      <c r="D18" s="473" t="s">
        <v>997</v>
      </c>
      <c r="E18" s="477" t="b">
        <v>0</v>
      </c>
      <c r="F18" s="466"/>
      <c r="G18" s="476">
        <v>15.0</v>
      </c>
      <c r="H18" s="473">
        <v>5.0</v>
      </c>
      <c r="I18" s="473" t="s">
        <v>1014</v>
      </c>
      <c r="J18" s="473" t="s">
        <v>907</v>
      </c>
      <c r="K18" s="625"/>
      <c r="L18" s="625"/>
      <c r="M18" s="477" t="b">
        <v>1</v>
      </c>
      <c r="N18" s="485"/>
      <c r="O18" s="485"/>
      <c r="P18" s="610"/>
      <c r="Q18" s="620">
        <v>15.0</v>
      </c>
      <c r="R18" s="637" t="s">
        <v>559</v>
      </c>
      <c r="S18" s="638" t="s">
        <v>1015</v>
      </c>
      <c r="T18" s="638" t="s">
        <v>1016</v>
      </c>
      <c r="U18" s="610"/>
      <c r="V18" s="611"/>
      <c r="W18" s="611"/>
      <c r="X18" s="611"/>
      <c r="Y18" s="611"/>
      <c r="Z18" s="611"/>
      <c r="AA18" s="612"/>
    </row>
    <row r="19">
      <c r="A19" s="476"/>
      <c r="B19" s="476"/>
      <c r="C19" s="475">
        <v>16.0</v>
      </c>
      <c r="D19" s="476"/>
      <c r="E19" s="477" t="b">
        <v>0</v>
      </c>
      <c r="F19" s="466"/>
      <c r="G19" s="476">
        <v>16.0</v>
      </c>
      <c r="H19" s="476"/>
      <c r="I19" s="476"/>
      <c r="J19" s="476"/>
      <c r="K19" s="625"/>
      <c r="L19" s="625"/>
      <c r="M19" s="477" t="b">
        <v>0</v>
      </c>
      <c r="N19" s="485"/>
      <c r="O19" s="485"/>
      <c r="P19" s="610"/>
      <c r="Q19" s="620">
        <v>16.0</v>
      </c>
      <c r="R19" s="637" t="s">
        <v>1017</v>
      </c>
      <c r="S19" s="638" t="s">
        <v>1018</v>
      </c>
      <c r="T19" s="638" t="s">
        <v>1019</v>
      </c>
      <c r="U19" s="610"/>
      <c r="V19" s="611"/>
      <c r="W19" s="611"/>
      <c r="X19" s="611"/>
      <c r="Y19" s="611"/>
      <c r="Z19" s="611"/>
      <c r="AA19" s="612"/>
    </row>
    <row r="20">
      <c r="A20" s="476"/>
      <c r="B20" s="476"/>
      <c r="C20" s="475">
        <v>17.0</v>
      </c>
      <c r="D20" s="476"/>
      <c r="E20" s="477" t="b">
        <v>0</v>
      </c>
      <c r="F20" s="466"/>
      <c r="G20" s="476">
        <v>17.0</v>
      </c>
      <c r="H20" s="476"/>
      <c r="I20" s="476"/>
      <c r="J20" s="476"/>
      <c r="K20" s="625"/>
      <c r="L20" s="625"/>
      <c r="M20" s="477" t="b">
        <v>0</v>
      </c>
      <c r="N20" s="485"/>
      <c r="O20" s="485"/>
      <c r="P20" s="610"/>
      <c r="Q20" s="612"/>
      <c r="R20" s="612"/>
      <c r="S20" s="612"/>
      <c r="T20" s="612"/>
      <c r="U20" s="610"/>
      <c r="V20" s="611"/>
      <c r="W20" s="611"/>
      <c r="X20" s="611"/>
      <c r="Y20" s="611"/>
      <c r="Z20" s="611"/>
      <c r="AA20" s="612"/>
    </row>
    <row r="21">
      <c r="A21" s="476"/>
      <c r="B21" s="476"/>
      <c r="C21" s="475">
        <v>18.0</v>
      </c>
      <c r="D21" s="476"/>
      <c r="E21" s="477" t="b">
        <v>0</v>
      </c>
      <c r="F21" s="466"/>
      <c r="G21" s="639">
        <v>18.0</v>
      </c>
      <c r="H21" s="640" t="s">
        <v>869</v>
      </c>
      <c r="I21" s="640" t="s">
        <v>870</v>
      </c>
      <c r="J21" s="640" t="s">
        <v>869</v>
      </c>
      <c r="K21" s="634"/>
      <c r="L21" s="641"/>
      <c r="M21" s="642" t="b">
        <v>0</v>
      </c>
      <c r="N21" s="541"/>
      <c r="O21" s="541"/>
      <c r="P21" s="610"/>
      <c r="Q21" s="610"/>
      <c r="R21" s="610"/>
      <c r="S21" s="610"/>
      <c r="T21" s="610"/>
      <c r="U21" s="610"/>
      <c r="V21" s="611"/>
      <c r="W21" s="611"/>
      <c r="X21" s="611"/>
      <c r="Y21" s="611"/>
      <c r="Z21" s="611"/>
      <c r="AA21" s="612"/>
    </row>
    <row r="22">
      <c r="A22" s="476"/>
      <c r="B22" s="476"/>
      <c r="C22" s="475">
        <v>19.0</v>
      </c>
      <c r="D22" s="476"/>
      <c r="E22" s="477" t="b">
        <v>0</v>
      </c>
      <c r="F22" s="466"/>
      <c r="G22" s="643" t="s">
        <v>1020</v>
      </c>
      <c r="H22" s="644" t="s">
        <v>1021</v>
      </c>
      <c r="I22" s="645" t="s">
        <v>1022</v>
      </c>
      <c r="J22" s="646" t="s">
        <v>1002</v>
      </c>
      <c r="K22" s="647" t="s">
        <v>1023</v>
      </c>
      <c r="L22" s="648"/>
      <c r="M22" s="649" t="b">
        <v>0</v>
      </c>
      <c r="N22" s="650" t="b">
        <v>0</v>
      </c>
      <c r="O22" s="651"/>
      <c r="P22" s="610"/>
      <c r="Q22" s="652" t="s">
        <v>1024</v>
      </c>
      <c r="R22" s="173"/>
      <c r="S22" s="173"/>
      <c r="T22" s="174"/>
      <c r="U22" s="610"/>
      <c r="V22" s="611"/>
      <c r="W22" s="611"/>
      <c r="X22" s="611"/>
      <c r="Y22" s="611"/>
      <c r="Z22" s="611"/>
      <c r="AA22" s="612"/>
    </row>
    <row r="23">
      <c r="A23" s="633"/>
      <c r="B23" s="633"/>
      <c r="C23" s="630">
        <v>20.0</v>
      </c>
      <c r="D23" s="633"/>
      <c r="E23" s="631" t="b">
        <v>0</v>
      </c>
      <c r="F23" s="632"/>
      <c r="G23" s="653">
        <v>20.0</v>
      </c>
      <c r="H23" s="654" t="s">
        <v>1025</v>
      </c>
      <c r="I23" s="655" t="s">
        <v>1026</v>
      </c>
      <c r="J23" s="655" t="s">
        <v>550</v>
      </c>
      <c r="K23" s="171"/>
      <c r="L23" s="656"/>
      <c r="M23" s="477" t="b">
        <v>0</v>
      </c>
      <c r="N23" s="657" t="b">
        <v>0</v>
      </c>
      <c r="O23" s="479"/>
      <c r="P23" s="610"/>
      <c r="Q23" s="658" t="s">
        <v>1027</v>
      </c>
      <c r="R23" s="173"/>
      <c r="S23" s="173"/>
      <c r="T23" s="174"/>
      <c r="U23" s="610"/>
      <c r="V23" s="611"/>
      <c r="W23" s="611"/>
      <c r="X23" s="611"/>
      <c r="Y23" s="611"/>
      <c r="Z23" s="611"/>
      <c r="AA23" s="612"/>
    </row>
    <row r="24">
      <c r="A24" s="473" t="s">
        <v>1028</v>
      </c>
      <c r="B24" s="474"/>
      <c r="C24" s="475">
        <v>21.0</v>
      </c>
      <c r="D24" s="473" t="s">
        <v>1002</v>
      </c>
      <c r="E24" s="555" t="b">
        <v>0</v>
      </c>
      <c r="F24" s="466"/>
      <c r="G24" s="659">
        <v>21.0</v>
      </c>
      <c r="H24" s="654" t="s">
        <v>1029</v>
      </c>
      <c r="I24" s="655" t="s">
        <v>1030</v>
      </c>
      <c r="J24" s="660" t="s">
        <v>558</v>
      </c>
      <c r="K24" s="171"/>
      <c r="L24" s="656"/>
      <c r="M24" s="477" t="b">
        <v>0</v>
      </c>
      <c r="N24" s="657" t="b">
        <v>0</v>
      </c>
      <c r="O24" s="485"/>
      <c r="P24" s="610"/>
      <c r="Q24" s="620" t="s">
        <v>961</v>
      </c>
      <c r="R24" s="621" t="s">
        <v>1031</v>
      </c>
      <c r="S24" s="622" t="s">
        <v>1032</v>
      </c>
      <c r="T24" s="620" t="s">
        <v>70</v>
      </c>
      <c r="U24" s="610"/>
      <c r="V24" s="611"/>
      <c r="W24" s="611"/>
      <c r="X24" s="611"/>
      <c r="Y24" s="611"/>
      <c r="Z24" s="611"/>
      <c r="AA24" s="612"/>
    </row>
    <row r="25">
      <c r="A25" s="476" t="s">
        <v>1033</v>
      </c>
      <c r="B25" s="474"/>
      <c r="C25" s="475">
        <v>22.0</v>
      </c>
      <c r="D25" s="473" t="s">
        <v>550</v>
      </c>
      <c r="E25" s="477" t="b">
        <v>0</v>
      </c>
      <c r="F25" s="466"/>
      <c r="G25" s="659">
        <v>22.0</v>
      </c>
      <c r="H25" s="654" t="s">
        <v>1034</v>
      </c>
      <c r="I25" s="655" t="s">
        <v>1035</v>
      </c>
      <c r="J25" s="660" t="s">
        <v>559</v>
      </c>
      <c r="K25" s="171"/>
      <c r="L25" s="656"/>
      <c r="M25" s="477" t="b">
        <v>0</v>
      </c>
      <c r="N25" s="657" t="b">
        <v>0</v>
      </c>
      <c r="O25" s="485"/>
      <c r="P25" s="610"/>
      <c r="Q25" s="620">
        <v>1.0</v>
      </c>
      <c r="R25" s="626" t="s">
        <v>909</v>
      </c>
      <c r="S25" s="626" t="s">
        <v>1036</v>
      </c>
      <c r="T25" s="638" t="s">
        <v>764</v>
      </c>
      <c r="U25" s="610"/>
      <c r="V25" s="611"/>
      <c r="W25" s="611"/>
      <c r="X25" s="611"/>
      <c r="Y25" s="611"/>
      <c r="Z25" s="611"/>
      <c r="AA25" s="612"/>
    </row>
    <row r="26">
      <c r="A26" s="476" t="s">
        <v>1037</v>
      </c>
      <c r="B26" s="474"/>
      <c r="C26" s="475">
        <v>23.0</v>
      </c>
      <c r="D26" s="473" t="s">
        <v>558</v>
      </c>
      <c r="E26" s="477" t="b">
        <v>0</v>
      </c>
      <c r="F26" s="466"/>
      <c r="G26" s="659">
        <v>23.0</v>
      </c>
      <c r="H26" s="654" t="s">
        <v>1038</v>
      </c>
      <c r="I26" s="655" t="s">
        <v>1039</v>
      </c>
      <c r="J26" s="660" t="s">
        <v>1017</v>
      </c>
      <c r="K26" s="171"/>
      <c r="L26" s="656"/>
      <c r="M26" s="477" t="b">
        <v>0</v>
      </c>
      <c r="N26" s="657" t="b">
        <v>0</v>
      </c>
      <c r="O26" s="485"/>
      <c r="P26" s="610"/>
      <c r="Q26" s="620">
        <v>2.0</v>
      </c>
      <c r="R26" s="626" t="s">
        <v>985</v>
      </c>
      <c r="S26" s="626" t="s">
        <v>1040</v>
      </c>
      <c r="T26" s="638" t="s">
        <v>764</v>
      </c>
      <c r="U26" s="610"/>
      <c r="V26" s="611"/>
      <c r="W26" s="611"/>
      <c r="X26" s="611"/>
      <c r="Y26" s="611"/>
      <c r="Z26" s="611"/>
      <c r="AA26" s="612"/>
    </row>
    <row r="27">
      <c r="A27" s="476" t="s">
        <v>1041</v>
      </c>
      <c r="B27" s="474"/>
      <c r="C27" s="475">
        <v>24.0</v>
      </c>
      <c r="D27" s="473" t="s">
        <v>559</v>
      </c>
      <c r="E27" s="477" t="b">
        <v>0</v>
      </c>
      <c r="F27" s="466"/>
      <c r="G27" s="659">
        <v>24.0</v>
      </c>
      <c r="H27" s="654" t="s">
        <v>1042</v>
      </c>
      <c r="I27" s="655" t="s">
        <v>1043</v>
      </c>
      <c r="J27" s="660" t="s">
        <v>560</v>
      </c>
      <c r="K27" s="171"/>
      <c r="L27" s="656"/>
      <c r="M27" s="477" t="b">
        <v>0</v>
      </c>
      <c r="N27" s="657" t="b">
        <v>0</v>
      </c>
      <c r="O27" s="485"/>
      <c r="P27" s="610"/>
      <c r="Q27" s="620">
        <v>3.0</v>
      </c>
      <c r="R27" s="626" t="s">
        <v>989</v>
      </c>
      <c r="S27" s="626" t="s">
        <v>1044</v>
      </c>
      <c r="T27" s="638" t="s">
        <v>764</v>
      </c>
      <c r="U27" s="610"/>
      <c r="V27" s="611"/>
      <c r="W27" s="611"/>
      <c r="X27" s="611"/>
      <c r="Y27" s="611"/>
      <c r="Z27" s="611"/>
      <c r="AA27" s="612"/>
    </row>
    <row r="28">
      <c r="A28" s="476" t="s">
        <v>1045</v>
      </c>
      <c r="B28" s="474"/>
      <c r="C28" s="475">
        <v>25.0</v>
      </c>
      <c r="D28" s="473" t="s">
        <v>1017</v>
      </c>
      <c r="E28" s="477" t="b">
        <v>0</v>
      </c>
      <c r="F28" s="466"/>
      <c r="G28" s="659">
        <v>25.0</v>
      </c>
      <c r="H28" s="654" t="s">
        <v>1046</v>
      </c>
      <c r="I28" s="655" t="s">
        <v>1047</v>
      </c>
      <c r="J28" s="660" t="s">
        <v>561</v>
      </c>
      <c r="K28" s="171"/>
      <c r="L28" s="656"/>
      <c r="M28" s="477" t="b">
        <v>0</v>
      </c>
      <c r="N28" s="657" t="b">
        <v>0</v>
      </c>
      <c r="O28" s="485"/>
      <c r="P28" s="610"/>
      <c r="Q28" s="620">
        <v>4.0</v>
      </c>
      <c r="R28" s="626" t="s">
        <v>993</v>
      </c>
      <c r="S28" s="626" t="s">
        <v>1048</v>
      </c>
      <c r="T28" s="638" t="s">
        <v>764</v>
      </c>
      <c r="U28" s="610"/>
      <c r="V28" s="611"/>
      <c r="W28" s="611"/>
      <c r="X28" s="611"/>
      <c r="Y28" s="611"/>
      <c r="Z28" s="611"/>
      <c r="AA28" s="612"/>
    </row>
    <row r="29">
      <c r="A29" s="476" t="s">
        <v>1049</v>
      </c>
      <c r="B29" s="474"/>
      <c r="C29" s="475">
        <v>26.0</v>
      </c>
      <c r="D29" s="473" t="s">
        <v>560</v>
      </c>
      <c r="E29" s="477" t="b">
        <v>0</v>
      </c>
      <c r="F29" s="466"/>
      <c r="G29" s="659">
        <v>26.0</v>
      </c>
      <c r="H29" s="654" t="s">
        <v>1050</v>
      </c>
      <c r="I29" s="655" t="s">
        <v>1051</v>
      </c>
      <c r="J29" s="660" t="s">
        <v>562</v>
      </c>
      <c r="K29" s="171"/>
      <c r="L29" s="656"/>
      <c r="M29" s="477" t="b">
        <v>0</v>
      </c>
      <c r="N29" s="657" t="b">
        <v>0</v>
      </c>
      <c r="O29" s="485"/>
      <c r="P29" s="610"/>
      <c r="Q29" s="620">
        <v>5.0</v>
      </c>
      <c r="R29" s="626" t="s">
        <v>997</v>
      </c>
      <c r="S29" s="626" t="s">
        <v>1052</v>
      </c>
      <c r="T29" s="638" t="s">
        <v>764</v>
      </c>
      <c r="U29" s="610"/>
      <c r="V29" s="611"/>
      <c r="W29" s="611"/>
      <c r="X29" s="611"/>
      <c r="Y29" s="611"/>
      <c r="Z29" s="611"/>
      <c r="AA29" s="612"/>
    </row>
    <row r="30">
      <c r="A30" s="476" t="s">
        <v>1053</v>
      </c>
      <c r="B30" s="474"/>
      <c r="C30" s="475">
        <v>27.0</v>
      </c>
      <c r="D30" s="473" t="s">
        <v>561</v>
      </c>
      <c r="E30" s="477" t="b">
        <v>0</v>
      </c>
      <c r="F30" s="466"/>
      <c r="G30" s="659">
        <v>27.0</v>
      </c>
      <c r="H30" s="654"/>
      <c r="I30" s="655" t="s">
        <v>1054</v>
      </c>
      <c r="J30" s="660"/>
      <c r="K30" s="171"/>
      <c r="L30" s="656"/>
      <c r="M30" s="477" t="b">
        <v>0</v>
      </c>
      <c r="N30" s="657" t="b">
        <v>0</v>
      </c>
      <c r="O30" s="485"/>
      <c r="P30" s="610"/>
      <c r="Q30" s="620">
        <v>6.0</v>
      </c>
      <c r="R30" s="626"/>
      <c r="S30" s="626"/>
      <c r="T30" s="627"/>
      <c r="U30" s="610"/>
      <c r="V30" s="611"/>
      <c r="W30" s="611"/>
      <c r="X30" s="611"/>
      <c r="Y30" s="611"/>
      <c r="Z30" s="611"/>
      <c r="AA30" s="612"/>
    </row>
    <row r="31">
      <c r="A31" s="476" t="s">
        <v>1055</v>
      </c>
      <c r="B31" s="474"/>
      <c r="C31" s="475">
        <v>28.0</v>
      </c>
      <c r="D31" s="473" t="s">
        <v>562</v>
      </c>
      <c r="E31" s="477" t="b">
        <v>0</v>
      </c>
      <c r="F31" s="466"/>
      <c r="G31" s="659">
        <v>28.0</v>
      </c>
      <c r="H31" s="654" t="s">
        <v>1056</v>
      </c>
      <c r="I31" s="655" t="s">
        <v>1057</v>
      </c>
      <c r="J31" s="660" t="s">
        <v>564</v>
      </c>
      <c r="K31" s="171"/>
      <c r="L31" s="656"/>
      <c r="M31" s="477" t="b">
        <v>0</v>
      </c>
      <c r="N31" s="657" t="b">
        <v>0</v>
      </c>
      <c r="O31" s="485"/>
      <c r="P31" s="610"/>
      <c r="Q31" s="620">
        <v>7.0</v>
      </c>
      <c r="R31" s="626"/>
      <c r="S31" s="626"/>
      <c r="T31" s="626"/>
      <c r="U31" s="610"/>
      <c r="V31" s="611"/>
      <c r="W31" s="611"/>
      <c r="X31" s="611"/>
      <c r="Y31" s="611"/>
      <c r="Z31" s="611"/>
      <c r="AA31" s="612"/>
    </row>
    <row r="32">
      <c r="A32" s="476" t="s">
        <v>1058</v>
      </c>
      <c r="B32" s="474"/>
      <c r="C32" s="475">
        <v>29.0</v>
      </c>
      <c r="D32" s="473" t="s">
        <v>563</v>
      </c>
      <c r="E32" s="477" t="b">
        <v>0</v>
      </c>
      <c r="F32" s="466"/>
      <c r="G32" s="659">
        <v>29.0</v>
      </c>
      <c r="H32" s="654" t="s">
        <v>1059</v>
      </c>
      <c r="I32" s="655" t="s">
        <v>1060</v>
      </c>
      <c r="J32" s="660" t="s">
        <v>563</v>
      </c>
      <c r="K32" s="171"/>
      <c r="L32" s="661"/>
      <c r="M32" s="477" t="b">
        <v>0</v>
      </c>
      <c r="N32" s="657" t="b">
        <v>0</v>
      </c>
      <c r="O32" s="485"/>
      <c r="P32" s="610"/>
      <c r="Q32" s="620">
        <v>8.0</v>
      </c>
      <c r="R32" s="626"/>
      <c r="S32" s="626"/>
      <c r="T32" s="626"/>
      <c r="U32" s="610"/>
      <c r="V32" s="611"/>
      <c r="W32" s="611"/>
      <c r="X32" s="611"/>
      <c r="Y32" s="611"/>
      <c r="Z32" s="611"/>
      <c r="AA32" s="612"/>
    </row>
    <row r="33">
      <c r="A33" s="639" t="s">
        <v>1061</v>
      </c>
      <c r="B33" s="629"/>
      <c r="C33" s="630">
        <v>30.0</v>
      </c>
      <c r="D33" s="628" t="s">
        <v>564</v>
      </c>
      <c r="E33" s="631" t="b">
        <v>0</v>
      </c>
      <c r="F33" s="632"/>
      <c r="G33" s="662">
        <v>30.0</v>
      </c>
      <c r="H33" s="655">
        <v>40.0</v>
      </c>
      <c r="I33" s="663" t="s">
        <v>1062</v>
      </c>
      <c r="J33" s="664" t="s">
        <v>1063</v>
      </c>
      <c r="K33" s="665"/>
      <c r="L33" s="666"/>
      <c r="M33" s="477" t="b">
        <v>0</v>
      </c>
      <c r="N33" s="667" t="b">
        <v>0</v>
      </c>
      <c r="O33" s="635"/>
      <c r="P33" s="610"/>
      <c r="Q33" s="620">
        <v>9.0</v>
      </c>
      <c r="R33" s="626"/>
      <c r="S33" s="626"/>
      <c r="T33" s="626"/>
      <c r="U33" s="610"/>
      <c r="V33" s="611"/>
      <c r="W33" s="611"/>
      <c r="X33" s="611"/>
      <c r="Y33" s="611"/>
      <c r="Z33" s="611"/>
      <c r="AA33" s="612"/>
    </row>
    <row r="34">
      <c r="A34" s="668"/>
      <c r="B34" s="669"/>
      <c r="C34" s="475">
        <v>31.0</v>
      </c>
      <c r="D34" s="473"/>
      <c r="E34" s="555" t="b">
        <v>0</v>
      </c>
      <c r="F34" s="466"/>
      <c r="G34" s="670">
        <v>31.0</v>
      </c>
      <c r="H34" s="671" t="s">
        <v>1025</v>
      </c>
      <c r="I34" s="672" t="s">
        <v>547</v>
      </c>
      <c r="J34" s="673" t="s">
        <v>550</v>
      </c>
      <c r="K34" s="674" t="s">
        <v>1064</v>
      </c>
      <c r="L34" s="675" t="s">
        <v>1065</v>
      </c>
      <c r="M34" s="477" t="b">
        <v>0</v>
      </c>
      <c r="N34" s="657" t="b">
        <v>0</v>
      </c>
      <c r="O34" s="485"/>
      <c r="P34" s="610"/>
      <c r="Q34" s="620">
        <v>10.0</v>
      </c>
      <c r="R34" s="626"/>
      <c r="S34" s="626"/>
      <c r="T34" s="626"/>
      <c r="U34" s="610"/>
      <c r="V34" s="611"/>
      <c r="W34" s="611"/>
      <c r="X34" s="611"/>
      <c r="Y34" s="611"/>
      <c r="Z34" s="611"/>
      <c r="AA34" s="612"/>
    </row>
    <row r="35">
      <c r="A35" s="473"/>
      <c r="B35" s="474"/>
      <c r="C35" s="475">
        <v>32.0</v>
      </c>
      <c r="D35" s="473"/>
      <c r="E35" s="477" t="b">
        <v>0</v>
      </c>
      <c r="F35" s="466"/>
      <c r="G35" s="670">
        <v>32.0</v>
      </c>
      <c r="H35" s="676" t="s">
        <v>1029</v>
      </c>
      <c r="I35" s="171"/>
      <c r="J35" s="673" t="s">
        <v>558</v>
      </c>
      <c r="K35" s="171"/>
      <c r="L35" s="675" t="s">
        <v>1065</v>
      </c>
      <c r="M35" s="477" t="b">
        <v>0</v>
      </c>
      <c r="N35" s="657" t="b">
        <v>0</v>
      </c>
      <c r="O35" s="485"/>
      <c r="P35" s="610"/>
      <c r="Q35" s="620">
        <v>11.0</v>
      </c>
      <c r="R35" s="626"/>
      <c r="S35" s="626"/>
      <c r="T35" s="626"/>
      <c r="U35" s="610"/>
      <c r="V35" s="611"/>
      <c r="W35" s="611"/>
      <c r="X35" s="611"/>
      <c r="Y35" s="611"/>
      <c r="Z35" s="611"/>
      <c r="AA35" s="612"/>
    </row>
    <row r="36">
      <c r="A36" s="473"/>
      <c r="B36" s="474"/>
      <c r="C36" s="475">
        <v>33.0</v>
      </c>
      <c r="D36" s="473"/>
      <c r="E36" s="477" t="b">
        <v>0</v>
      </c>
      <c r="F36" s="466"/>
      <c r="G36" s="670">
        <v>33.0</v>
      </c>
      <c r="H36" s="676" t="s">
        <v>1034</v>
      </c>
      <c r="I36" s="171"/>
      <c r="J36" s="673" t="s">
        <v>559</v>
      </c>
      <c r="K36" s="171"/>
      <c r="L36" s="675" t="s">
        <v>1065</v>
      </c>
      <c r="M36" s="477" t="b">
        <v>0</v>
      </c>
      <c r="N36" s="657" t="b">
        <v>0</v>
      </c>
      <c r="O36" s="485"/>
      <c r="P36" s="610"/>
      <c r="Q36" s="620">
        <v>12.0</v>
      </c>
      <c r="R36" s="637" t="s">
        <v>560</v>
      </c>
      <c r="S36" s="638" t="s">
        <v>1066</v>
      </c>
      <c r="T36" s="638" t="s">
        <v>1067</v>
      </c>
      <c r="U36" s="610"/>
      <c r="V36" s="611"/>
      <c r="W36" s="611"/>
      <c r="X36" s="611"/>
      <c r="Y36" s="611"/>
      <c r="Z36" s="611"/>
      <c r="AA36" s="612"/>
    </row>
    <row r="37">
      <c r="A37" s="473"/>
      <c r="B37" s="474"/>
      <c r="C37" s="475">
        <v>34.0</v>
      </c>
      <c r="D37" s="473"/>
      <c r="E37" s="477" t="b">
        <v>0</v>
      </c>
      <c r="F37" s="466"/>
      <c r="G37" s="670">
        <v>34.0</v>
      </c>
      <c r="H37" s="676" t="s">
        <v>1038</v>
      </c>
      <c r="I37" s="171"/>
      <c r="J37" s="673" t="s">
        <v>1017</v>
      </c>
      <c r="K37" s="171"/>
      <c r="L37" s="675" t="s">
        <v>1065</v>
      </c>
      <c r="M37" s="477" t="b">
        <v>0</v>
      </c>
      <c r="N37" s="657" t="b">
        <v>0</v>
      </c>
      <c r="O37" s="485"/>
      <c r="P37" s="610"/>
      <c r="Q37" s="620">
        <v>13.0</v>
      </c>
      <c r="R37" s="637" t="s">
        <v>561</v>
      </c>
      <c r="S37" s="638" t="s">
        <v>1068</v>
      </c>
      <c r="T37" s="638" t="s">
        <v>1069</v>
      </c>
      <c r="U37" s="610"/>
      <c r="V37" s="611"/>
      <c r="W37" s="611"/>
      <c r="X37" s="611"/>
      <c r="Y37" s="611"/>
      <c r="Z37" s="611"/>
      <c r="AA37" s="612"/>
    </row>
    <row r="38">
      <c r="A38" s="473"/>
      <c r="B38" s="474"/>
      <c r="C38" s="475">
        <v>35.0</v>
      </c>
      <c r="D38" s="473"/>
      <c r="E38" s="477" t="b">
        <v>0</v>
      </c>
      <c r="F38" s="466"/>
      <c r="G38" s="670">
        <v>35.0</v>
      </c>
      <c r="H38" s="676" t="s">
        <v>1042</v>
      </c>
      <c r="I38" s="171"/>
      <c r="J38" s="673" t="s">
        <v>560</v>
      </c>
      <c r="K38" s="171"/>
      <c r="L38" s="675" t="s">
        <v>1065</v>
      </c>
      <c r="M38" s="477" t="b">
        <v>0</v>
      </c>
      <c r="N38" s="657" t="b">
        <v>0</v>
      </c>
      <c r="O38" s="485"/>
      <c r="P38" s="610"/>
      <c r="Q38" s="620">
        <v>14.0</v>
      </c>
      <c r="R38" s="637" t="s">
        <v>562</v>
      </c>
      <c r="S38" s="638" t="s">
        <v>1070</v>
      </c>
      <c r="T38" s="638" t="s">
        <v>1071</v>
      </c>
      <c r="U38" s="610"/>
      <c r="V38" s="611"/>
      <c r="W38" s="611"/>
      <c r="X38" s="611"/>
      <c r="Y38" s="611"/>
      <c r="Z38" s="611"/>
      <c r="AA38" s="612"/>
    </row>
    <row r="39">
      <c r="A39" s="473"/>
      <c r="B39" s="474"/>
      <c r="C39" s="475">
        <v>36.0</v>
      </c>
      <c r="D39" s="473"/>
      <c r="E39" s="477" t="b">
        <v>0</v>
      </c>
      <c r="F39" s="466"/>
      <c r="G39" s="670">
        <v>36.0</v>
      </c>
      <c r="H39" s="676" t="s">
        <v>1046</v>
      </c>
      <c r="I39" s="171"/>
      <c r="J39" s="673" t="s">
        <v>561</v>
      </c>
      <c r="K39" s="171"/>
      <c r="L39" s="675" t="s">
        <v>1065</v>
      </c>
      <c r="M39" s="477" t="b">
        <v>0</v>
      </c>
      <c r="N39" s="657" t="b">
        <v>0</v>
      </c>
      <c r="O39" s="485"/>
      <c r="P39" s="610"/>
      <c r="Q39" s="620">
        <v>15.0</v>
      </c>
      <c r="R39" s="637" t="s">
        <v>563</v>
      </c>
      <c r="S39" s="638" t="s">
        <v>1072</v>
      </c>
      <c r="T39" s="638" t="s">
        <v>1073</v>
      </c>
      <c r="U39" s="610"/>
      <c r="V39" s="611"/>
      <c r="W39" s="611"/>
      <c r="X39" s="611"/>
      <c r="Y39" s="611"/>
      <c r="Z39" s="611"/>
      <c r="AA39" s="612"/>
    </row>
    <row r="40">
      <c r="A40" s="473"/>
      <c r="B40" s="474"/>
      <c r="C40" s="475">
        <v>37.0</v>
      </c>
      <c r="D40" s="473"/>
      <c r="E40" s="477" t="b">
        <v>0</v>
      </c>
      <c r="F40" s="466"/>
      <c r="G40" s="670">
        <v>37.0</v>
      </c>
      <c r="H40" s="676" t="s">
        <v>1050</v>
      </c>
      <c r="I40" s="171"/>
      <c r="J40" s="673" t="s">
        <v>562</v>
      </c>
      <c r="K40" s="171"/>
      <c r="L40" s="675" t="s">
        <v>1065</v>
      </c>
      <c r="M40" s="477" t="b">
        <v>0</v>
      </c>
      <c r="N40" s="657" t="b">
        <v>0</v>
      </c>
      <c r="O40" s="485"/>
      <c r="P40" s="610"/>
      <c r="Q40" s="620">
        <v>16.0</v>
      </c>
      <c r="R40" s="637" t="s">
        <v>564</v>
      </c>
      <c r="S40" s="638" t="s">
        <v>1074</v>
      </c>
      <c r="T40" s="638" t="s">
        <v>1075</v>
      </c>
      <c r="U40" s="610"/>
      <c r="V40" s="611"/>
      <c r="W40" s="611"/>
      <c r="X40" s="611"/>
      <c r="Y40" s="611"/>
      <c r="Z40" s="611"/>
      <c r="AA40" s="612"/>
    </row>
    <row r="41">
      <c r="A41" s="473"/>
      <c r="B41" s="474"/>
      <c r="C41" s="475">
        <v>38.0</v>
      </c>
      <c r="D41" s="473"/>
      <c r="E41" s="477" t="b">
        <v>0</v>
      </c>
      <c r="F41" s="466"/>
      <c r="G41" s="670">
        <v>38.0</v>
      </c>
      <c r="H41" s="676" t="s">
        <v>1059</v>
      </c>
      <c r="I41" s="171"/>
      <c r="J41" s="673" t="s">
        <v>563</v>
      </c>
      <c r="K41" s="171"/>
      <c r="L41" s="675" t="s">
        <v>1065</v>
      </c>
      <c r="M41" s="477" t="b">
        <v>0</v>
      </c>
      <c r="N41" s="657" t="b">
        <v>0</v>
      </c>
      <c r="O41" s="485"/>
      <c r="P41" s="610"/>
      <c r="Q41" s="612"/>
      <c r="R41" s="612"/>
      <c r="S41" s="612"/>
      <c r="T41" s="612"/>
      <c r="U41" s="610"/>
      <c r="V41" s="612"/>
      <c r="W41" s="612"/>
      <c r="X41" s="612"/>
      <c r="Y41" s="612"/>
      <c r="Z41" s="610"/>
      <c r="AA41" s="612"/>
    </row>
    <row r="42">
      <c r="A42" s="473"/>
      <c r="B42" s="474"/>
      <c r="C42" s="475">
        <v>39.0</v>
      </c>
      <c r="D42" s="473"/>
      <c r="E42" s="477" t="b">
        <v>0</v>
      </c>
      <c r="F42" s="466"/>
      <c r="G42" s="670">
        <v>39.0</v>
      </c>
      <c r="H42" s="676" t="s">
        <v>1056</v>
      </c>
      <c r="I42" s="171"/>
      <c r="J42" s="673" t="s">
        <v>564</v>
      </c>
      <c r="K42" s="171"/>
      <c r="L42" s="675" t="s">
        <v>1065</v>
      </c>
      <c r="M42" s="477" t="b">
        <v>0</v>
      </c>
      <c r="N42" s="657" t="b">
        <v>0</v>
      </c>
      <c r="O42" s="485"/>
      <c r="P42" s="610"/>
      <c r="Q42" s="612"/>
      <c r="R42" s="612"/>
      <c r="S42" s="612"/>
      <c r="T42" s="612"/>
      <c r="U42" s="610"/>
      <c r="V42" s="612"/>
      <c r="W42" s="612"/>
      <c r="X42" s="612"/>
      <c r="Y42" s="612"/>
      <c r="Z42" s="610"/>
      <c r="AA42" s="612"/>
    </row>
    <row r="43">
      <c r="A43" s="473" t="s">
        <v>1063</v>
      </c>
      <c r="B43" s="474"/>
      <c r="C43" s="475">
        <v>40.0</v>
      </c>
      <c r="D43" s="473" t="s">
        <v>1076</v>
      </c>
      <c r="E43" s="477" t="b">
        <v>0</v>
      </c>
      <c r="F43" s="466"/>
      <c r="G43" s="670">
        <v>40.0</v>
      </c>
      <c r="H43" s="677"/>
      <c r="I43" s="69"/>
      <c r="J43" s="678"/>
      <c r="K43" s="69"/>
      <c r="L43" s="679"/>
      <c r="M43" s="477" t="b">
        <v>0</v>
      </c>
      <c r="N43" s="657" t="b">
        <v>0</v>
      </c>
      <c r="O43" s="485"/>
      <c r="P43" s="610"/>
      <c r="Q43" s="612"/>
      <c r="R43" s="612"/>
      <c r="S43" s="612"/>
      <c r="T43" s="612"/>
      <c r="U43" s="610"/>
      <c r="V43" s="612"/>
      <c r="W43" s="612"/>
      <c r="X43" s="612"/>
      <c r="Y43" s="612"/>
      <c r="Z43" s="610"/>
      <c r="AA43" s="612"/>
    </row>
    <row r="44">
      <c r="A44" s="610"/>
      <c r="B44" s="610"/>
      <c r="C44" s="610"/>
      <c r="D44" s="610"/>
      <c r="E44" s="610"/>
      <c r="F44" s="610"/>
      <c r="G44" s="610"/>
      <c r="H44" s="610"/>
      <c r="I44" s="610"/>
      <c r="J44" s="610"/>
      <c r="K44" s="610"/>
      <c r="L44" s="610"/>
      <c r="M44" s="610"/>
      <c r="N44" s="610"/>
      <c r="O44" s="610"/>
      <c r="P44" s="610"/>
      <c r="Q44" s="610"/>
      <c r="R44" s="610"/>
      <c r="S44" s="610"/>
      <c r="T44" s="610"/>
      <c r="U44" s="610"/>
      <c r="V44" s="610"/>
      <c r="W44" s="610"/>
      <c r="X44" s="610"/>
      <c r="Y44" s="610"/>
      <c r="Z44" s="610"/>
      <c r="AA44" s="610"/>
    </row>
    <row r="45">
      <c r="A45" s="610"/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10"/>
    </row>
  </sheetData>
  <mergeCells count="10">
    <mergeCell ref="K22:K33"/>
    <mergeCell ref="I34:I43"/>
    <mergeCell ref="K34:K43"/>
    <mergeCell ref="A1:O1"/>
    <mergeCell ref="Q1:T1"/>
    <mergeCell ref="A2:E2"/>
    <mergeCell ref="G2:J2"/>
    <mergeCell ref="Q2:T2"/>
    <mergeCell ref="Q22:T22"/>
    <mergeCell ref="Q23:T23"/>
  </mergeCells>
  <conditionalFormatting sqref="E4:E43 M4:M43">
    <cfRule type="cellIs" dxfId="5" priority="1" operator="equal">
      <formula>"True"</formula>
    </cfRule>
  </conditionalFormatting>
  <conditionalFormatting sqref="E4:E43 M4:M43">
    <cfRule type="cellIs" dxfId="9" priority="2" operator="equal">
      <formula>"False"</formula>
    </cfRule>
  </conditionalFormatting>
  <conditionalFormatting sqref="K4">
    <cfRule type="containsText" dxfId="5" priority="3" operator="containsText" text="TRUE">
      <formula>NOT(ISERROR(SEARCH(("TRUE"),(K4))))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7" max="7" width="14.13"/>
    <col customWidth="1" min="10" max="10" width="13.75"/>
    <col customWidth="1" min="20" max="20" width="14.63"/>
    <col customWidth="1" min="22" max="22" width="12.88"/>
    <col customWidth="1" min="23" max="23" width="14.13"/>
  </cols>
  <sheetData>
    <row r="1">
      <c r="A1" s="680" t="s">
        <v>1077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>
      <c r="A2" s="681" t="s">
        <v>1078</v>
      </c>
      <c r="B2" s="607"/>
      <c r="C2" s="59"/>
      <c r="D2" s="59"/>
      <c r="E2" s="59"/>
      <c r="F2" s="59"/>
      <c r="G2" s="59"/>
      <c r="H2" s="59"/>
      <c r="I2" s="59"/>
      <c r="J2" s="59"/>
      <c r="K2" s="59"/>
      <c r="L2" s="569"/>
      <c r="M2" s="569"/>
      <c r="N2" s="569"/>
      <c r="O2" s="569"/>
      <c r="P2" s="569"/>
      <c r="Q2" s="569"/>
      <c r="R2" s="569"/>
      <c r="S2" s="569"/>
      <c r="T2" s="569"/>
      <c r="U2" s="59"/>
      <c r="V2" s="59"/>
      <c r="W2" s="59"/>
      <c r="X2" s="59"/>
      <c r="Y2" s="59"/>
      <c r="Z2" s="59"/>
      <c r="AA2" s="59"/>
    </row>
    <row r="3">
      <c r="A3" s="682" t="s">
        <v>1079</v>
      </c>
      <c r="B3" s="683" t="b">
        <v>0</v>
      </c>
      <c r="C3" s="684"/>
      <c r="D3" s="684"/>
      <c r="E3" s="685" t="s">
        <v>1080</v>
      </c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7"/>
      <c r="U3" s="686"/>
    </row>
    <row r="4">
      <c r="A4" s="687" t="s">
        <v>1081</v>
      </c>
      <c r="B4" s="688" t="b">
        <v>0</v>
      </c>
      <c r="C4" s="689"/>
      <c r="D4" s="689"/>
      <c r="E4" s="690"/>
      <c r="F4" s="465"/>
      <c r="G4" s="465"/>
      <c r="H4" s="465"/>
      <c r="I4" s="465"/>
      <c r="J4" s="465"/>
      <c r="K4" s="465"/>
      <c r="L4" s="465"/>
      <c r="M4" s="465"/>
      <c r="N4" s="465"/>
      <c r="O4" s="465"/>
      <c r="P4" s="465"/>
      <c r="Q4" s="465"/>
      <c r="R4" s="465"/>
      <c r="S4" s="465"/>
      <c r="T4" s="691"/>
    </row>
    <row r="5">
      <c r="A5" s="687" t="s">
        <v>1082</v>
      </c>
      <c r="B5" s="688" t="b">
        <v>0</v>
      </c>
      <c r="C5" s="689"/>
      <c r="D5" s="689"/>
      <c r="E5" s="692" t="s">
        <v>1083</v>
      </c>
      <c r="F5" s="69"/>
      <c r="G5" s="693" t="s">
        <v>1084</v>
      </c>
      <c r="H5" s="69"/>
      <c r="I5" s="693" t="s">
        <v>1085</v>
      </c>
      <c r="J5" s="69"/>
      <c r="K5" s="693" t="s">
        <v>1086</v>
      </c>
      <c r="L5" s="69"/>
      <c r="M5" s="693" t="s">
        <v>1087</v>
      </c>
      <c r="N5" s="69"/>
      <c r="O5" s="693" t="s">
        <v>1088</v>
      </c>
      <c r="P5" s="69"/>
      <c r="Q5" s="693" t="s">
        <v>1089</v>
      </c>
      <c r="R5" s="69"/>
      <c r="S5" s="693" t="s">
        <v>1090</v>
      </c>
      <c r="T5" s="691"/>
    </row>
    <row r="6">
      <c r="A6" s="687" t="s">
        <v>1091</v>
      </c>
      <c r="B6" s="688" t="b">
        <v>0</v>
      </c>
      <c r="C6" s="689"/>
      <c r="D6" s="689"/>
      <c r="E6" s="694"/>
      <c r="F6" s="171"/>
      <c r="G6" s="695" t="s">
        <v>1092</v>
      </c>
      <c r="H6" s="696" t="s">
        <v>1093</v>
      </c>
      <c r="I6" s="695" t="s">
        <v>1092</v>
      </c>
      <c r="J6" s="697" t="s">
        <v>1093</v>
      </c>
      <c r="K6" s="698" t="s">
        <v>1092</v>
      </c>
      <c r="L6" s="697" t="s">
        <v>1093</v>
      </c>
      <c r="M6" s="698" t="s">
        <v>1092</v>
      </c>
      <c r="N6" s="697" t="s">
        <v>1093</v>
      </c>
      <c r="O6" s="698" t="s">
        <v>1092</v>
      </c>
      <c r="P6" s="697" t="s">
        <v>1093</v>
      </c>
      <c r="Q6" s="698" t="s">
        <v>1092</v>
      </c>
      <c r="R6" s="697" t="s">
        <v>1093</v>
      </c>
      <c r="S6" s="698" t="s">
        <v>1092</v>
      </c>
      <c r="T6" s="699" t="s">
        <v>1093</v>
      </c>
    </row>
    <row r="7">
      <c r="A7" s="700" t="s">
        <v>1094</v>
      </c>
      <c r="B7" s="688" t="b">
        <v>0</v>
      </c>
      <c r="C7" s="689"/>
      <c r="D7" s="689"/>
      <c r="E7" s="701"/>
      <c r="F7" s="171"/>
      <c r="G7" s="702">
        <v>22.0</v>
      </c>
      <c r="H7" s="703">
        <v>20.0</v>
      </c>
      <c r="I7" s="704">
        <v>26.0</v>
      </c>
      <c r="J7" s="703">
        <v>24.0</v>
      </c>
      <c r="K7" s="704">
        <v>32.0</v>
      </c>
      <c r="L7" s="703">
        <v>20.0</v>
      </c>
      <c r="M7" s="704">
        <v>36.0</v>
      </c>
      <c r="N7" s="703">
        <v>24.0</v>
      </c>
      <c r="O7" s="704">
        <v>2.0</v>
      </c>
      <c r="P7" s="703">
        <v>20.0</v>
      </c>
      <c r="Q7" s="704">
        <v>36.0</v>
      </c>
      <c r="R7" s="703">
        <v>24.0</v>
      </c>
      <c r="S7" s="704">
        <v>30.0</v>
      </c>
      <c r="T7" s="705">
        <v>28.0</v>
      </c>
    </row>
    <row r="8">
      <c r="A8" s="706" t="s">
        <v>1095</v>
      </c>
      <c r="B8" s="707" t="b">
        <v>0</v>
      </c>
      <c r="C8" s="689"/>
      <c r="D8" s="689"/>
      <c r="E8" s="701"/>
      <c r="F8" s="171"/>
      <c r="G8" s="702">
        <v>22.0</v>
      </c>
      <c r="H8" s="703">
        <v>31.0</v>
      </c>
      <c r="I8" s="704">
        <v>26.0</v>
      </c>
      <c r="J8" s="703">
        <v>35.0</v>
      </c>
      <c r="K8" s="704">
        <v>32.0</v>
      </c>
      <c r="L8" s="703">
        <v>31.0</v>
      </c>
      <c r="M8" s="704">
        <v>36.0</v>
      </c>
      <c r="N8" s="703">
        <v>35.0</v>
      </c>
      <c r="O8" s="704">
        <v>2.0</v>
      </c>
      <c r="P8" s="703">
        <v>31.0</v>
      </c>
      <c r="Q8" s="704">
        <v>36.0</v>
      </c>
      <c r="R8" s="703">
        <v>35.0</v>
      </c>
      <c r="S8" s="704">
        <v>30.0</v>
      </c>
      <c r="T8" s="705">
        <v>39.0</v>
      </c>
    </row>
    <row r="9">
      <c r="A9" s="708"/>
      <c r="B9" s="689"/>
      <c r="C9" s="709"/>
      <c r="D9" s="709"/>
      <c r="E9" s="710" t="s">
        <v>1096</v>
      </c>
      <c r="F9" s="69"/>
      <c r="G9" s="711" t="s">
        <v>1097</v>
      </c>
      <c r="H9" s="69"/>
      <c r="I9" s="711" t="s">
        <v>1098</v>
      </c>
      <c r="J9" s="69"/>
      <c r="K9" s="711" t="s">
        <v>1099</v>
      </c>
      <c r="L9" s="69"/>
      <c r="M9" s="711" t="s">
        <v>1100</v>
      </c>
      <c r="N9" s="69"/>
      <c r="O9" s="711" t="s">
        <v>1101</v>
      </c>
      <c r="P9" s="69"/>
      <c r="Q9" s="711" t="s">
        <v>1102</v>
      </c>
      <c r="R9" s="69"/>
      <c r="S9" s="711" t="s">
        <v>1103</v>
      </c>
      <c r="T9" s="691"/>
    </row>
    <row r="10">
      <c r="A10" s="712"/>
      <c r="B10" s="689"/>
      <c r="C10" s="709"/>
      <c r="D10" s="709"/>
      <c r="E10" s="713">
        <v>1.0</v>
      </c>
      <c r="F10" s="171"/>
      <c r="G10" s="698" t="s">
        <v>1092</v>
      </c>
      <c r="H10" s="697" t="s">
        <v>1093</v>
      </c>
      <c r="I10" s="698" t="s">
        <v>1092</v>
      </c>
      <c r="J10" s="697" t="s">
        <v>1093</v>
      </c>
      <c r="K10" s="698" t="s">
        <v>1092</v>
      </c>
      <c r="L10" s="697" t="s">
        <v>1093</v>
      </c>
      <c r="M10" s="695" t="s">
        <v>1092</v>
      </c>
      <c r="N10" s="697" t="s">
        <v>1093</v>
      </c>
      <c r="O10" s="698" t="s">
        <v>1092</v>
      </c>
      <c r="P10" s="697" t="s">
        <v>1093</v>
      </c>
      <c r="Q10" s="698" t="s">
        <v>1092</v>
      </c>
      <c r="R10" s="697" t="s">
        <v>1093</v>
      </c>
      <c r="S10" s="698" t="s">
        <v>1092</v>
      </c>
      <c r="T10" s="699" t="s">
        <v>1093</v>
      </c>
    </row>
    <row r="11">
      <c r="A11" s="712"/>
      <c r="B11" s="689"/>
      <c r="C11" s="709"/>
      <c r="D11" s="709"/>
      <c r="E11" s="701"/>
      <c r="F11" s="171"/>
      <c r="G11" s="702">
        <v>23.0</v>
      </c>
      <c r="H11" s="703">
        <v>21.0</v>
      </c>
      <c r="I11" s="704">
        <v>27.0</v>
      </c>
      <c r="J11" s="703">
        <v>25.0</v>
      </c>
      <c r="K11" s="704">
        <v>33.0</v>
      </c>
      <c r="L11" s="703">
        <v>21.0</v>
      </c>
      <c r="M11" s="704">
        <v>37.0</v>
      </c>
      <c r="N11" s="703">
        <v>25.0</v>
      </c>
      <c r="O11" s="704">
        <v>3.0</v>
      </c>
      <c r="P11" s="703">
        <v>21.0</v>
      </c>
      <c r="Q11" s="704">
        <v>37.0</v>
      </c>
      <c r="R11" s="703">
        <v>25.0</v>
      </c>
      <c r="S11" s="704">
        <v>40.0</v>
      </c>
      <c r="T11" s="705">
        <v>28.0</v>
      </c>
    </row>
    <row r="12">
      <c r="A12" s="712"/>
      <c r="B12" s="689"/>
      <c r="C12" s="709"/>
      <c r="D12" s="709"/>
      <c r="E12" s="701"/>
      <c r="F12" s="171"/>
      <c r="G12" s="702">
        <v>23.0</v>
      </c>
      <c r="H12" s="703">
        <v>32.0</v>
      </c>
      <c r="I12" s="704">
        <v>27.0</v>
      </c>
      <c r="J12" s="703">
        <v>36.0</v>
      </c>
      <c r="K12" s="704">
        <v>33.0</v>
      </c>
      <c r="L12" s="703">
        <v>32.0</v>
      </c>
      <c r="M12" s="704">
        <v>37.0</v>
      </c>
      <c r="N12" s="703">
        <v>36.0</v>
      </c>
      <c r="O12" s="704">
        <v>3.0</v>
      </c>
      <c r="P12" s="703">
        <v>32.0</v>
      </c>
      <c r="Q12" s="704">
        <v>37.0</v>
      </c>
      <c r="R12" s="703">
        <v>36.0</v>
      </c>
      <c r="S12" s="704">
        <v>40.0</v>
      </c>
      <c r="T12" s="705">
        <v>39.0</v>
      </c>
    </row>
    <row r="13">
      <c r="A13" s="712"/>
      <c r="B13" s="689"/>
      <c r="C13" s="709"/>
      <c r="D13" s="709"/>
      <c r="E13" s="710" t="s">
        <v>1104</v>
      </c>
      <c r="F13" s="69"/>
      <c r="G13" s="711" t="s">
        <v>1105</v>
      </c>
      <c r="H13" s="69"/>
      <c r="I13" s="711" t="s">
        <v>1106</v>
      </c>
      <c r="J13" s="69"/>
      <c r="K13" s="711" t="s">
        <v>1107</v>
      </c>
      <c r="L13" s="69"/>
      <c r="M13" s="711" t="s">
        <v>1108</v>
      </c>
      <c r="N13" s="69"/>
      <c r="O13" s="711" t="s">
        <v>1109</v>
      </c>
      <c r="P13" s="69"/>
      <c r="Q13" s="711" t="s">
        <v>1110</v>
      </c>
      <c r="R13" s="69"/>
      <c r="S13" s="711" t="s">
        <v>1111</v>
      </c>
      <c r="T13" s="691"/>
    </row>
    <row r="14">
      <c r="A14" s="59"/>
      <c r="B14" s="59"/>
      <c r="C14" s="59"/>
      <c r="D14" s="59"/>
      <c r="E14" s="714"/>
      <c r="F14" s="171"/>
      <c r="G14" s="698" t="s">
        <v>1092</v>
      </c>
      <c r="H14" s="697" t="s">
        <v>1093</v>
      </c>
      <c r="I14" s="698" t="s">
        <v>1092</v>
      </c>
      <c r="J14" s="697" t="s">
        <v>1093</v>
      </c>
      <c r="K14" s="698" t="s">
        <v>1092</v>
      </c>
      <c r="L14" s="696" t="s">
        <v>1093</v>
      </c>
      <c r="M14" s="695" t="s">
        <v>1092</v>
      </c>
      <c r="N14" s="697" t="s">
        <v>1093</v>
      </c>
      <c r="O14" s="698" t="s">
        <v>1092</v>
      </c>
      <c r="P14" s="697" t="s">
        <v>1093</v>
      </c>
      <c r="Q14" s="698" t="s">
        <v>1092</v>
      </c>
      <c r="R14" s="697" t="s">
        <v>1093</v>
      </c>
      <c r="S14" s="698" t="s">
        <v>1092</v>
      </c>
      <c r="T14" s="699" t="s">
        <v>1093</v>
      </c>
    </row>
    <row r="15">
      <c r="A15" s="684"/>
      <c r="B15" s="684"/>
      <c r="C15" s="715"/>
      <c r="D15" s="715"/>
      <c r="E15" s="701"/>
      <c r="F15" s="171"/>
      <c r="G15" s="702">
        <v>24.0</v>
      </c>
      <c r="H15" s="703">
        <v>22.0</v>
      </c>
      <c r="I15" s="704">
        <v>28.0</v>
      </c>
      <c r="J15" s="703">
        <v>26.0</v>
      </c>
      <c r="K15" s="704">
        <v>34.0</v>
      </c>
      <c r="L15" s="703">
        <v>22.0</v>
      </c>
      <c r="M15" s="704">
        <v>38.0</v>
      </c>
      <c r="N15" s="703">
        <v>26.0</v>
      </c>
      <c r="O15" s="704">
        <v>4.0</v>
      </c>
      <c r="P15" s="703">
        <v>22.0</v>
      </c>
      <c r="Q15" s="704">
        <v>38.0</v>
      </c>
      <c r="R15" s="703">
        <v>26.0</v>
      </c>
      <c r="S15" s="704">
        <v>10.0</v>
      </c>
      <c r="T15" s="705">
        <v>28.0</v>
      </c>
    </row>
    <row r="16">
      <c r="A16" s="712"/>
      <c r="B16" s="689"/>
      <c r="C16" s="709"/>
      <c r="D16" s="709"/>
      <c r="E16" s="690"/>
      <c r="F16" s="69"/>
      <c r="G16" s="702">
        <v>24.0</v>
      </c>
      <c r="H16" s="703">
        <v>33.0</v>
      </c>
      <c r="I16" s="704">
        <v>28.0</v>
      </c>
      <c r="J16" s="703">
        <v>37.0</v>
      </c>
      <c r="K16" s="704">
        <v>34.0</v>
      </c>
      <c r="L16" s="703">
        <v>33.0</v>
      </c>
      <c r="M16" s="704">
        <v>38.0</v>
      </c>
      <c r="N16" s="703">
        <v>37.0</v>
      </c>
      <c r="O16" s="704">
        <v>4.0</v>
      </c>
      <c r="P16" s="703">
        <v>33.0</v>
      </c>
      <c r="Q16" s="704">
        <v>38.0</v>
      </c>
      <c r="R16" s="703">
        <v>37.0</v>
      </c>
      <c r="S16" s="704">
        <v>10.0</v>
      </c>
      <c r="T16" s="705">
        <v>39.0</v>
      </c>
    </row>
    <row r="17">
      <c r="A17" s="716"/>
      <c r="B17" s="716"/>
      <c r="C17" s="59"/>
      <c r="D17" s="59"/>
      <c r="E17" s="717"/>
      <c r="F17" s="69"/>
      <c r="G17" s="711" t="s">
        <v>1112</v>
      </c>
      <c r="H17" s="69"/>
      <c r="I17" s="711" t="s">
        <v>1113</v>
      </c>
      <c r="J17" s="69"/>
      <c r="K17" s="711" t="s">
        <v>1114</v>
      </c>
      <c r="L17" s="69"/>
      <c r="M17" s="711" t="s">
        <v>1115</v>
      </c>
      <c r="N17" s="69"/>
      <c r="O17" s="711" t="s">
        <v>1116</v>
      </c>
      <c r="P17" s="69"/>
      <c r="Q17" s="711" t="s">
        <v>1117</v>
      </c>
      <c r="R17" s="69"/>
      <c r="S17" s="718"/>
      <c r="T17" s="691"/>
    </row>
    <row r="18">
      <c r="A18" s="716"/>
      <c r="B18" s="716"/>
      <c r="C18" s="59"/>
      <c r="D18" s="59"/>
      <c r="E18" s="719" t="s">
        <v>1118</v>
      </c>
      <c r="F18" s="171"/>
      <c r="G18" s="698" t="s">
        <v>1092</v>
      </c>
      <c r="H18" s="697" t="s">
        <v>1093</v>
      </c>
      <c r="I18" s="698" t="s">
        <v>1092</v>
      </c>
      <c r="J18" s="697" t="s">
        <v>1093</v>
      </c>
      <c r="K18" s="698" t="s">
        <v>1092</v>
      </c>
      <c r="L18" s="697" t="s">
        <v>1093</v>
      </c>
      <c r="M18" s="698" t="s">
        <v>1092</v>
      </c>
      <c r="N18" s="697" t="s">
        <v>1093</v>
      </c>
      <c r="O18" s="698" t="s">
        <v>1092</v>
      </c>
      <c r="P18" s="697" t="s">
        <v>1093</v>
      </c>
      <c r="Q18" s="698" t="s">
        <v>1092</v>
      </c>
      <c r="R18" s="697" t="s">
        <v>1093</v>
      </c>
      <c r="S18" s="698" t="s">
        <v>1092</v>
      </c>
      <c r="T18" s="699" t="s">
        <v>1093</v>
      </c>
    </row>
    <row r="19">
      <c r="A19" s="716"/>
      <c r="B19" s="716"/>
      <c r="C19" s="59"/>
      <c r="D19" s="59"/>
      <c r="E19" s="701"/>
      <c r="F19" s="171"/>
      <c r="G19" s="702">
        <v>25.0</v>
      </c>
      <c r="H19" s="703">
        <v>23.0</v>
      </c>
      <c r="I19" s="704">
        <v>29.0</v>
      </c>
      <c r="J19" s="703">
        <v>27.0</v>
      </c>
      <c r="K19" s="704">
        <v>35.0</v>
      </c>
      <c r="L19" s="703">
        <v>23.0</v>
      </c>
      <c r="M19" s="704">
        <v>39.0</v>
      </c>
      <c r="N19" s="703">
        <v>27.0</v>
      </c>
      <c r="O19" s="704">
        <v>5.0</v>
      </c>
      <c r="P19" s="703">
        <v>23.0</v>
      </c>
      <c r="Q19" s="704">
        <v>39.0</v>
      </c>
      <c r="R19" s="703">
        <v>27.0</v>
      </c>
      <c r="S19" s="698"/>
      <c r="T19" s="699"/>
    </row>
    <row r="20">
      <c r="A20" s="716"/>
      <c r="B20" s="716"/>
      <c r="C20" s="59"/>
      <c r="D20" s="59"/>
      <c r="E20" s="720"/>
      <c r="F20" s="721"/>
      <c r="G20" s="722">
        <v>25.0</v>
      </c>
      <c r="H20" s="723">
        <v>34.0</v>
      </c>
      <c r="I20" s="724">
        <v>29.0</v>
      </c>
      <c r="J20" s="723">
        <v>38.0</v>
      </c>
      <c r="K20" s="724">
        <v>35.0</v>
      </c>
      <c r="L20" s="723">
        <v>34.0</v>
      </c>
      <c r="M20" s="724">
        <v>39.0</v>
      </c>
      <c r="N20" s="723">
        <v>38.0</v>
      </c>
      <c r="O20" s="724">
        <v>5.0</v>
      </c>
      <c r="P20" s="723">
        <v>34.0</v>
      </c>
      <c r="Q20" s="724">
        <v>39.0</v>
      </c>
      <c r="R20" s="723">
        <v>38.0</v>
      </c>
      <c r="S20" s="725"/>
      <c r="T20" s="726"/>
    </row>
    <row r="21">
      <c r="A21" s="59"/>
      <c r="B21" s="59"/>
      <c r="C21" s="59"/>
      <c r="D21" s="59"/>
    </row>
    <row r="22">
      <c r="A22" s="59"/>
      <c r="B22" s="59"/>
      <c r="C22" s="59"/>
      <c r="D22" s="59"/>
    </row>
    <row r="23">
      <c r="A23" s="59"/>
      <c r="B23" s="59"/>
      <c r="C23" s="59"/>
      <c r="D23" s="59"/>
    </row>
    <row r="24">
      <c r="A24" s="59"/>
      <c r="B24" s="59"/>
      <c r="C24" s="59"/>
      <c r="D24" s="59"/>
    </row>
    <row r="25">
      <c r="A25" s="59"/>
      <c r="B25" s="59"/>
      <c r="C25" s="59"/>
      <c r="D25" s="59"/>
      <c r="E25" s="727" t="s">
        <v>1119</v>
      </c>
      <c r="F25" s="606"/>
      <c r="G25" s="606"/>
      <c r="H25" s="606"/>
      <c r="I25" s="606"/>
      <c r="J25" s="606"/>
      <c r="K25" s="606"/>
      <c r="L25" s="606"/>
      <c r="M25" s="606"/>
      <c r="N25" s="606"/>
      <c r="O25" s="606"/>
      <c r="P25" s="606"/>
      <c r="Q25" s="606"/>
      <c r="R25" s="606"/>
      <c r="S25" s="606"/>
      <c r="T25" s="607"/>
    </row>
    <row r="26">
      <c r="A26" s="59"/>
      <c r="B26" s="59"/>
      <c r="C26" s="59"/>
      <c r="D26" s="59"/>
      <c r="E26" s="728"/>
      <c r="F26" s="465"/>
      <c r="G26" s="465"/>
      <c r="H26" s="465"/>
      <c r="I26" s="465"/>
      <c r="J26" s="465"/>
      <c r="K26" s="465"/>
      <c r="L26" s="465"/>
      <c r="M26" s="465"/>
      <c r="N26" s="465"/>
      <c r="O26" s="465"/>
      <c r="P26" s="465"/>
      <c r="Q26" s="465"/>
      <c r="R26" s="465"/>
      <c r="S26" s="465"/>
      <c r="T26" s="691"/>
    </row>
    <row r="27">
      <c r="A27" s="59"/>
      <c r="B27" s="59"/>
      <c r="C27" s="59"/>
      <c r="D27" s="59"/>
      <c r="E27" s="729" t="s">
        <v>1083</v>
      </c>
      <c r="F27" s="69"/>
      <c r="G27" s="693" t="s">
        <v>1120</v>
      </c>
      <c r="H27" s="69"/>
      <c r="I27" s="693" t="s">
        <v>1121</v>
      </c>
      <c r="J27" s="69"/>
      <c r="K27" s="693" t="s">
        <v>1122</v>
      </c>
      <c r="L27" s="69"/>
      <c r="M27" s="693" t="s">
        <v>1123</v>
      </c>
      <c r="N27" s="69"/>
      <c r="O27" s="693" t="s">
        <v>1124</v>
      </c>
      <c r="P27" s="69"/>
      <c r="Q27" s="730"/>
      <c r="R27" s="69"/>
      <c r="S27" s="730" t="s">
        <v>1125</v>
      </c>
      <c r="T27" s="691"/>
    </row>
    <row r="28">
      <c r="A28" s="59"/>
      <c r="B28" s="59"/>
      <c r="C28" s="59"/>
      <c r="D28" s="59"/>
      <c r="E28" s="731"/>
      <c r="F28" s="171"/>
      <c r="G28" s="698" t="s">
        <v>1092</v>
      </c>
      <c r="H28" s="697" t="s">
        <v>1093</v>
      </c>
      <c r="I28" s="698" t="s">
        <v>1092</v>
      </c>
      <c r="J28" s="697" t="s">
        <v>1093</v>
      </c>
      <c r="K28" s="698" t="s">
        <v>1092</v>
      </c>
      <c r="L28" s="697" t="s">
        <v>1093</v>
      </c>
      <c r="M28" s="698" t="s">
        <v>1092</v>
      </c>
      <c r="N28" s="697" t="s">
        <v>1093</v>
      </c>
      <c r="O28" s="698" t="s">
        <v>1092</v>
      </c>
      <c r="P28" s="697" t="s">
        <v>1093</v>
      </c>
      <c r="Q28" s="698" t="s">
        <v>1092</v>
      </c>
      <c r="R28" s="697" t="s">
        <v>1093</v>
      </c>
      <c r="S28" s="698" t="s">
        <v>1092</v>
      </c>
      <c r="T28" s="699" t="s">
        <v>1093</v>
      </c>
    </row>
    <row r="29">
      <c r="A29" s="59"/>
      <c r="B29" s="59"/>
      <c r="C29" s="59"/>
      <c r="D29" s="59"/>
      <c r="E29" s="732"/>
      <c r="F29" s="171"/>
      <c r="G29" s="695">
        <v>1.0</v>
      </c>
      <c r="H29" s="696">
        <v>1.0</v>
      </c>
      <c r="I29" s="695">
        <v>3.0</v>
      </c>
      <c r="J29" s="696">
        <v>3.0</v>
      </c>
      <c r="K29" s="695">
        <v>5.0</v>
      </c>
      <c r="L29" s="696">
        <v>5.0</v>
      </c>
      <c r="M29" s="695">
        <v>7.0</v>
      </c>
      <c r="N29" s="697">
        <v>7.0</v>
      </c>
      <c r="O29" s="698">
        <v>9.0</v>
      </c>
      <c r="P29" s="697">
        <v>9.0</v>
      </c>
      <c r="Q29" s="698"/>
      <c r="R29" s="697"/>
      <c r="S29" s="698">
        <v>1.0</v>
      </c>
      <c r="T29" s="705">
        <v>1.0</v>
      </c>
    </row>
    <row r="30">
      <c r="A30" s="59"/>
      <c r="B30" s="59"/>
      <c r="C30" s="59"/>
      <c r="D30" s="59"/>
      <c r="E30" s="732"/>
      <c r="F30" s="171"/>
      <c r="G30" s="698">
        <v>2.0</v>
      </c>
      <c r="H30" s="697">
        <v>2.0</v>
      </c>
      <c r="I30" s="698">
        <v>4.0</v>
      </c>
      <c r="J30" s="697">
        <v>4.0</v>
      </c>
      <c r="K30" s="698">
        <v>6.0</v>
      </c>
      <c r="L30" s="696">
        <v>6.0</v>
      </c>
      <c r="M30" s="695">
        <v>8.0</v>
      </c>
      <c r="N30" s="697">
        <v>8.0</v>
      </c>
      <c r="O30" s="698">
        <v>10.0</v>
      </c>
      <c r="P30" s="697">
        <v>10.0</v>
      </c>
      <c r="Q30" s="698"/>
      <c r="R30" s="697"/>
      <c r="S30" s="698">
        <v>2.0</v>
      </c>
      <c r="T30" s="705">
        <v>2.0</v>
      </c>
    </row>
    <row r="31">
      <c r="A31" s="59"/>
      <c r="B31" s="59"/>
      <c r="C31" s="59"/>
      <c r="D31" s="59"/>
      <c r="E31" s="732"/>
      <c r="F31" s="171"/>
      <c r="G31" s="698">
        <v>1.0</v>
      </c>
      <c r="H31" s="703">
        <v>21.0</v>
      </c>
      <c r="I31" s="698">
        <v>3.0</v>
      </c>
      <c r="J31" s="703">
        <v>23.0</v>
      </c>
      <c r="K31" s="698">
        <v>5.0</v>
      </c>
      <c r="L31" s="703">
        <v>25.0</v>
      </c>
      <c r="M31" s="698">
        <v>7.0</v>
      </c>
      <c r="N31" s="703">
        <v>27.0</v>
      </c>
      <c r="O31" s="698">
        <v>9.0</v>
      </c>
      <c r="P31" s="703">
        <v>29.0</v>
      </c>
      <c r="Q31" s="698"/>
      <c r="R31" s="697"/>
      <c r="S31" s="698">
        <v>3.0</v>
      </c>
      <c r="T31" s="705">
        <v>3.0</v>
      </c>
    </row>
    <row r="32">
      <c r="A32" s="59"/>
      <c r="B32" s="59"/>
      <c r="C32" s="59"/>
      <c r="D32" s="59"/>
      <c r="E32" s="732"/>
      <c r="F32" s="171"/>
      <c r="G32" s="698">
        <v>2.0</v>
      </c>
      <c r="H32" s="703">
        <v>22.0</v>
      </c>
      <c r="I32" s="698">
        <v>4.0</v>
      </c>
      <c r="J32" s="703">
        <v>24.0</v>
      </c>
      <c r="K32" s="698">
        <v>6.0</v>
      </c>
      <c r="L32" s="703">
        <v>26.0</v>
      </c>
      <c r="M32" s="698">
        <v>8.0</v>
      </c>
      <c r="N32" s="703">
        <v>28.0</v>
      </c>
      <c r="O32" s="698">
        <v>10.0</v>
      </c>
      <c r="P32" s="703">
        <v>30.0</v>
      </c>
      <c r="Q32" s="698"/>
      <c r="R32" s="697"/>
      <c r="S32" s="698">
        <v>4.0</v>
      </c>
      <c r="T32" s="705">
        <v>4.0</v>
      </c>
    </row>
    <row r="33">
      <c r="A33" s="59"/>
      <c r="B33" s="59"/>
      <c r="C33" s="59"/>
      <c r="D33" s="59"/>
      <c r="E33" s="732"/>
      <c r="F33" s="171"/>
      <c r="G33" s="59"/>
      <c r="H33" s="541"/>
      <c r="I33" s="59"/>
      <c r="J33" s="541"/>
      <c r="K33" s="59"/>
      <c r="L33" s="541"/>
      <c r="M33" s="59"/>
      <c r="N33" s="541"/>
      <c r="O33" s="59"/>
      <c r="P33" s="541"/>
      <c r="Q33" s="59"/>
      <c r="R33" s="541"/>
      <c r="S33" s="698">
        <v>5.0</v>
      </c>
      <c r="T33" s="705">
        <v>5.0</v>
      </c>
    </row>
    <row r="34">
      <c r="A34" s="59"/>
      <c r="B34" s="59"/>
      <c r="C34" s="59"/>
      <c r="D34" s="59"/>
      <c r="E34" s="732"/>
      <c r="F34" s="171"/>
      <c r="G34" s="59"/>
      <c r="H34" s="541"/>
      <c r="I34" s="59"/>
      <c r="J34" s="541"/>
      <c r="K34" s="59"/>
      <c r="L34" s="733"/>
      <c r="M34" s="716"/>
      <c r="N34" s="733"/>
      <c r="O34" s="716"/>
      <c r="P34" s="733"/>
      <c r="Q34" s="59"/>
      <c r="R34" s="541"/>
      <c r="S34" s="698">
        <v>6.0</v>
      </c>
      <c r="T34" s="705">
        <v>6.0</v>
      </c>
    </row>
    <row r="35">
      <c r="A35" s="59"/>
      <c r="B35" s="59"/>
      <c r="C35" s="59"/>
      <c r="D35" s="59"/>
      <c r="E35" s="732"/>
      <c r="F35" s="171"/>
      <c r="G35" s="59"/>
      <c r="H35" s="541"/>
      <c r="I35" s="59"/>
      <c r="J35" s="541"/>
      <c r="K35" s="59"/>
      <c r="L35" s="733"/>
      <c r="M35" s="716"/>
      <c r="N35" s="733"/>
      <c r="O35" s="716"/>
      <c r="P35" s="733"/>
      <c r="Q35" s="59"/>
      <c r="R35" s="541"/>
      <c r="S35" s="698">
        <v>7.0</v>
      </c>
      <c r="T35" s="705">
        <v>7.0</v>
      </c>
    </row>
    <row r="36">
      <c r="A36" s="59"/>
      <c r="B36" s="59"/>
      <c r="C36" s="59"/>
      <c r="D36" s="59"/>
      <c r="E36" s="732"/>
      <c r="F36" s="171"/>
      <c r="G36" s="59"/>
      <c r="H36" s="541"/>
      <c r="I36" s="59"/>
      <c r="J36" s="541"/>
      <c r="K36" s="59"/>
      <c r="L36" s="733"/>
      <c r="M36" s="716"/>
      <c r="N36" s="733"/>
      <c r="O36" s="716"/>
      <c r="P36" s="733"/>
      <c r="Q36" s="59"/>
      <c r="R36" s="541"/>
      <c r="S36" s="698">
        <v>8.0</v>
      </c>
      <c r="T36" s="705">
        <v>8.0</v>
      </c>
    </row>
    <row r="37">
      <c r="A37" s="59"/>
      <c r="B37" s="59"/>
      <c r="C37" s="59"/>
      <c r="D37" s="59"/>
      <c r="E37" s="732"/>
      <c r="F37" s="171"/>
      <c r="G37" s="59"/>
      <c r="H37" s="541"/>
      <c r="I37" s="59"/>
      <c r="J37" s="541"/>
      <c r="K37" s="59"/>
      <c r="L37" s="733"/>
      <c r="M37" s="716"/>
      <c r="N37" s="733"/>
      <c r="O37" s="716"/>
      <c r="P37" s="733"/>
      <c r="Q37" s="59"/>
      <c r="R37" s="541"/>
      <c r="S37" s="698">
        <v>9.0</v>
      </c>
      <c r="T37" s="705">
        <v>9.0</v>
      </c>
    </row>
    <row r="38">
      <c r="A38" s="59"/>
      <c r="B38" s="59"/>
      <c r="C38" s="59"/>
      <c r="D38" s="59"/>
      <c r="E38" s="732"/>
      <c r="F38" s="171"/>
      <c r="G38" s="59"/>
      <c r="H38" s="541"/>
      <c r="I38" s="59"/>
      <c r="J38" s="541"/>
      <c r="K38" s="59"/>
      <c r="L38" s="541"/>
      <c r="M38" s="59"/>
      <c r="N38" s="541"/>
      <c r="O38" s="59"/>
      <c r="P38" s="541"/>
      <c r="Q38" s="59"/>
      <c r="R38" s="541"/>
      <c r="S38" s="698">
        <v>10.0</v>
      </c>
      <c r="T38" s="705">
        <v>10.0</v>
      </c>
    </row>
    <row r="39">
      <c r="A39" s="59"/>
      <c r="B39" s="59"/>
      <c r="C39" s="59"/>
      <c r="D39" s="59"/>
      <c r="E39" s="732"/>
      <c r="F39" s="171"/>
      <c r="G39" s="59"/>
      <c r="H39" s="541"/>
      <c r="I39" s="59"/>
      <c r="J39" s="541"/>
      <c r="K39" s="59"/>
      <c r="L39" s="541"/>
      <c r="M39" s="59"/>
      <c r="N39" s="541"/>
      <c r="O39" s="59"/>
      <c r="P39" s="541"/>
      <c r="Q39" s="59"/>
      <c r="R39" s="541"/>
      <c r="S39" s="704">
        <v>1.0</v>
      </c>
      <c r="T39" s="705">
        <v>21.0</v>
      </c>
    </row>
    <row r="40">
      <c r="A40" s="59"/>
      <c r="B40" s="59"/>
      <c r="C40" s="59"/>
      <c r="D40" s="59"/>
      <c r="E40" s="732"/>
      <c r="F40" s="171"/>
      <c r="G40" s="59"/>
      <c r="H40" s="541"/>
      <c r="I40" s="59"/>
      <c r="J40" s="541"/>
      <c r="K40" s="59"/>
      <c r="L40" s="541"/>
      <c r="M40" s="59"/>
      <c r="N40" s="541"/>
      <c r="O40" s="59"/>
      <c r="P40" s="541"/>
      <c r="Q40" s="59"/>
      <c r="R40" s="541"/>
      <c r="S40" s="704">
        <v>2.0</v>
      </c>
      <c r="T40" s="705">
        <v>22.0</v>
      </c>
    </row>
    <row r="41">
      <c r="A41" s="59"/>
      <c r="B41" s="59"/>
      <c r="C41" s="59"/>
      <c r="D41" s="59"/>
      <c r="E41" s="732"/>
      <c r="F41" s="171"/>
      <c r="G41" s="59"/>
      <c r="H41" s="541"/>
      <c r="I41" s="59"/>
      <c r="J41" s="541"/>
      <c r="K41" s="59"/>
      <c r="L41" s="541"/>
      <c r="M41" s="59"/>
      <c r="N41" s="541"/>
      <c r="O41" s="59"/>
      <c r="P41" s="541"/>
      <c r="Q41" s="59"/>
      <c r="R41" s="541"/>
      <c r="S41" s="704">
        <v>3.0</v>
      </c>
      <c r="T41" s="705">
        <v>23.0</v>
      </c>
    </row>
    <row r="42">
      <c r="A42" s="59"/>
      <c r="B42" s="59"/>
      <c r="C42" s="59"/>
      <c r="D42" s="59"/>
      <c r="E42" s="732"/>
      <c r="F42" s="171"/>
      <c r="G42" s="59"/>
      <c r="H42" s="541"/>
      <c r="I42" s="59"/>
      <c r="J42" s="541"/>
      <c r="K42" s="59"/>
      <c r="L42" s="541"/>
      <c r="M42" s="59"/>
      <c r="N42" s="541"/>
      <c r="O42" s="59"/>
      <c r="P42" s="541"/>
      <c r="Q42" s="59"/>
      <c r="R42" s="541"/>
      <c r="S42" s="704">
        <v>4.0</v>
      </c>
      <c r="T42" s="705">
        <v>24.0</v>
      </c>
    </row>
    <row r="43">
      <c r="A43" s="59"/>
      <c r="B43" s="59"/>
      <c r="C43" s="59"/>
      <c r="D43" s="59"/>
      <c r="E43" s="732"/>
      <c r="F43" s="171"/>
      <c r="G43" s="59"/>
      <c r="H43" s="541"/>
      <c r="I43" s="59"/>
      <c r="J43" s="541"/>
      <c r="K43" s="59"/>
      <c r="L43" s="541"/>
      <c r="M43" s="59"/>
      <c r="N43" s="541"/>
      <c r="O43" s="59"/>
      <c r="P43" s="541"/>
      <c r="Q43" s="59"/>
      <c r="R43" s="541"/>
      <c r="S43" s="704">
        <v>5.0</v>
      </c>
      <c r="T43" s="705">
        <v>25.0</v>
      </c>
    </row>
    <row r="44">
      <c r="A44" s="59"/>
      <c r="B44" s="59"/>
      <c r="C44" s="59"/>
      <c r="D44" s="59"/>
      <c r="E44" s="732"/>
      <c r="F44" s="171"/>
      <c r="G44" s="59"/>
      <c r="H44" s="541"/>
      <c r="I44" s="59"/>
      <c r="J44" s="541"/>
      <c r="K44" s="59"/>
      <c r="L44" s="541"/>
      <c r="M44" s="59"/>
      <c r="N44" s="541"/>
      <c r="O44" s="59"/>
      <c r="P44" s="541"/>
      <c r="Q44" s="59"/>
      <c r="R44" s="541"/>
      <c r="S44" s="702">
        <v>6.0</v>
      </c>
      <c r="T44" s="705">
        <v>26.0</v>
      </c>
    </row>
    <row r="45">
      <c r="A45" s="59"/>
      <c r="B45" s="59"/>
      <c r="C45" s="59"/>
      <c r="D45" s="59"/>
      <c r="E45" s="732"/>
      <c r="F45" s="171"/>
      <c r="G45" s="59"/>
      <c r="H45" s="541"/>
      <c r="I45" s="59"/>
      <c r="J45" s="541"/>
      <c r="K45" s="59"/>
      <c r="L45" s="541"/>
      <c r="M45" s="59"/>
      <c r="N45" s="541"/>
      <c r="O45" s="59"/>
      <c r="P45" s="541"/>
      <c r="Q45" s="59"/>
      <c r="R45" s="541"/>
      <c r="S45" s="704">
        <v>7.0</v>
      </c>
      <c r="T45" s="705">
        <v>27.0</v>
      </c>
    </row>
    <row r="46">
      <c r="A46" s="59"/>
      <c r="B46" s="59"/>
      <c r="C46" s="59"/>
      <c r="D46" s="59"/>
      <c r="E46" s="732"/>
      <c r="F46" s="171"/>
      <c r="G46" s="59"/>
      <c r="H46" s="541"/>
      <c r="I46" s="59"/>
      <c r="J46" s="541"/>
      <c r="K46" s="59"/>
      <c r="L46" s="541"/>
      <c r="M46" s="59"/>
      <c r="N46" s="541"/>
      <c r="O46" s="59"/>
      <c r="P46" s="541"/>
      <c r="Q46" s="59"/>
      <c r="R46" s="541"/>
      <c r="S46" s="704">
        <v>8.0</v>
      </c>
      <c r="T46" s="705">
        <v>28.0</v>
      </c>
    </row>
    <row r="47">
      <c r="A47" s="59"/>
      <c r="B47" s="59"/>
      <c r="C47" s="59"/>
      <c r="D47" s="59"/>
      <c r="E47" s="732"/>
      <c r="F47" s="171"/>
      <c r="G47" s="59"/>
      <c r="H47" s="541"/>
      <c r="I47" s="59"/>
      <c r="J47" s="541"/>
      <c r="K47" s="59"/>
      <c r="L47" s="541"/>
      <c r="M47" s="59"/>
      <c r="N47" s="541"/>
      <c r="O47" s="59"/>
      <c r="P47" s="541"/>
      <c r="Q47" s="59"/>
      <c r="R47" s="541"/>
      <c r="S47" s="704">
        <v>9.0</v>
      </c>
      <c r="T47" s="705">
        <v>29.0</v>
      </c>
    </row>
    <row r="48">
      <c r="A48" s="59"/>
      <c r="B48" s="59"/>
      <c r="C48" s="59"/>
      <c r="D48" s="59"/>
      <c r="E48" s="732"/>
      <c r="F48" s="171"/>
      <c r="G48" s="59"/>
      <c r="H48" s="541"/>
      <c r="I48" s="59"/>
      <c r="J48" s="541"/>
      <c r="K48" s="59"/>
      <c r="L48" s="541"/>
      <c r="M48" s="59"/>
      <c r="N48" s="541"/>
      <c r="O48" s="59"/>
      <c r="P48" s="541"/>
      <c r="Q48" s="59"/>
      <c r="R48" s="541"/>
      <c r="S48" s="704">
        <v>10.0</v>
      </c>
      <c r="T48" s="705">
        <v>30.0</v>
      </c>
    </row>
    <row r="49">
      <c r="A49" s="59"/>
      <c r="B49" s="59"/>
      <c r="C49" s="59"/>
      <c r="D49" s="59"/>
      <c r="E49" s="734" t="s">
        <v>1096</v>
      </c>
      <c r="F49" s="174"/>
      <c r="G49" s="735" t="s">
        <v>1126</v>
      </c>
      <c r="H49" s="174"/>
      <c r="I49" s="735" t="s">
        <v>1127</v>
      </c>
      <c r="J49" s="174"/>
      <c r="K49" s="735" t="s">
        <v>1128</v>
      </c>
      <c r="L49" s="174"/>
      <c r="M49" s="735" t="s">
        <v>1129</v>
      </c>
      <c r="N49" s="174"/>
      <c r="O49" s="735" t="s">
        <v>1130</v>
      </c>
      <c r="P49" s="174"/>
      <c r="Q49" s="736"/>
      <c r="R49" s="174"/>
      <c r="S49" s="736" t="s">
        <v>1131</v>
      </c>
      <c r="T49" s="737"/>
    </row>
    <row r="50">
      <c r="A50" s="59"/>
      <c r="B50" s="59"/>
      <c r="C50" s="59"/>
      <c r="D50" s="59"/>
      <c r="E50" s="738">
        <v>3.0</v>
      </c>
      <c r="F50" s="171"/>
      <c r="G50" s="698" t="s">
        <v>1092</v>
      </c>
      <c r="H50" s="697" t="s">
        <v>1093</v>
      </c>
      <c r="I50" s="698" t="s">
        <v>1092</v>
      </c>
      <c r="J50" s="697" t="s">
        <v>1093</v>
      </c>
      <c r="K50" s="698" t="s">
        <v>1092</v>
      </c>
      <c r="L50" s="697" t="s">
        <v>1093</v>
      </c>
      <c r="M50" s="698" t="s">
        <v>1092</v>
      </c>
      <c r="N50" s="697" t="s">
        <v>1093</v>
      </c>
      <c r="O50" s="698" t="s">
        <v>1092</v>
      </c>
      <c r="P50" s="697" t="s">
        <v>1093</v>
      </c>
      <c r="Q50" s="698" t="s">
        <v>1092</v>
      </c>
      <c r="R50" s="697" t="s">
        <v>1093</v>
      </c>
      <c r="S50" s="698" t="s">
        <v>1092</v>
      </c>
      <c r="T50" s="699" t="s">
        <v>1093</v>
      </c>
    </row>
    <row r="51">
      <c r="A51" s="59"/>
      <c r="B51" s="59"/>
      <c r="C51" s="59"/>
      <c r="D51" s="59"/>
      <c r="E51" s="732"/>
      <c r="F51" s="171"/>
      <c r="G51" s="704">
        <v>21.0</v>
      </c>
      <c r="H51" s="697">
        <v>1.0</v>
      </c>
      <c r="I51" s="704">
        <v>23.0</v>
      </c>
      <c r="J51" s="697">
        <v>3.0</v>
      </c>
      <c r="K51" s="704">
        <v>25.0</v>
      </c>
      <c r="L51" s="697">
        <v>5.0</v>
      </c>
      <c r="M51" s="704">
        <v>27.0</v>
      </c>
      <c r="N51" s="697">
        <v>7.0</v>
      </c>
      <c r="O51" s="704">
        <v>29.0</v>
      </c>
      <c r="P51" s="697">
        <v>9.0</v>
      </c>
      <c r="Q51" s="698"/>
      <c r="R51" s="697"/>
      <c r="S51" s="698">
        <v>21.0</v>
      </c>
      <c r="T51" s="705">
        <v>1.0</v>
      </c>
    </row>
    <row r="52">
      <c r="A52" s="59"/>
      <c r="B52" s="59"/>
      <c r="C52" s="59"/>
      <c r="D52" s="59"/>
      <c r="E52" s="732"/>
      <c r="F52" s="171"/>
      <c r="G52" s="704">
        <v>22.0</v>
      </c>
      <c r="H52" s="697">
        <v>2.0</v>
      </c>
      <c r="I52" s="704">
        <v>24.0</v>
      </c>
      <c r="J52" s="697">
        <v>4.0</v>
      </c>
      <c r="K52" s="704">
        <v>26.0</v>
      </c>
      <c r="L52" s="697">
        <v>6.0</v>
      </c>
      <c r="M52" s="704">
        <v>28.0</v>
      </c>
      <c r="N52" s="697">
        <v>8.0</v>
      </c>
      <c r="O52" s="704">
        <v>30.0</v>
      </c>
      <c r="P52" s="697">
        <v>10.0</v>
      </c>
      <c r="Q52" s="698"/>
      <c r="R52" s="697"/>
      <c r="S52" s="698">
        <v>22.0</v>
      </c>
      <c r="T52" s="705">
        <v>2.0</v>
      </c>
    </row>
    <row r="53">
      <c r="A53" s="59"/>
      <c r="B53" s="59"/>
      <c r="C53" s="59"/>
      <c r="D53" s="59"/>
      <c r="E53" s="732"/>
      <c r="F53" s="171"/>
      <c r="G53" s="704">
        <v>21.0</v>
      </c>
      <c r="H53" s="703">
        <v>21.0</v>
      </c>
      <c r="I53" s="704">
        <v>23.0</v>
      </c>
      <c r="J53" s="703">
        <v>23.0</v>
      </c>
      <c r="K53" s="704">
        <v>25.0</v>
      </c>
      <c r="L53" s="703">
        <v>25.0</v>
      </c>
      <c r="M53" s="704">
        <v>27.0</v>
      </c>
      <c r="N53" s="703">
        <v>27.0</v>
      </c>
      <c r="O53" s="704">
        <v>29.0</v>
      </c>
      <c r="P53" s="703">
        <v>29.0</v>
      </c>
      <c r="Q53" s="698"/>
      <c r="R53" s="697"/>
      <c r="S53" s="698">
        <v>23.0</v>
      </c>
      <c r="T53" s="705">
        <v>3.0</v>
      </c>
    </row>
    <row r="54">
      <c r="A54" s="59"/>
      <c r="B54" s="59"/>
      <c r="C54" s="59"/>
      <c r="D54" s="59"/>
      <c r="E54" s="732"/>
      <c r="F54" s="171"/>
      <c r="G54" s="704">
        <v>22.0</v>
      </c>
      <c r="H54" s="703">
        <v>22.0</v>
      </c>
      <c r="I54" s="704">
        <v>24.0</v>
      </c>
      <c r="J54" s="703">
        <v>24.0</v>
      </c>
      <c r="K54" s="704">
        <v>26.0</v>
      </c>
      <c r="L54" s="703">
        <v>26.0</v>
      </c>
      <c r="M54" s="704">
        <v>28.0</v>
      </c>
      <c r="N54" s="703">
        <v>28.0</v>
      </c>
      <c r="O54" s="704">
        <v>30.0</v>
      </c>
      <c r="P54" s="703">
        <v>30.0</v>
      </c>
      <c r="Q54" s="698"/>
      <c r="R54" s="697"/>
      <c r="S54" s="698">
        <v>24.0</v>
      </c>
      <c r="T54" s="705">
        <v>4.0</v>
      </c>
    </row>
    <row r="55">
      <c r="A55" s="59"/>
      <c r="B55" s="59"/>
      <c r="C55" s="59"/>
      <c r="D55" s="59"/>
      <c r="E55" s="732"/>
      <c r="F55" s="171"/>
      <c r="G55" s="59"/>
      <c r="H55" s="541"/>
      <c r="I55" s="59"/>
      <c r="J55" s="541"/>
      <c r="K55" s="59"/>
      <c r="L55" s="541"/>
      <c r="M55" s="59"/>
      <c r="N55" s="541"/>
      <c r="O55" s="59"/>
      <c r="P55" s="541"/>
      <c r="Q55" s="59"/>
      <c r="R55" s="541"/>
      <c r="S55" s="698">
        <v>25.0</v>
      </c>
      <c r="T55" s="705">
        <v>5.0</v>
      </c>
    </row>
    <row r="56">
      <c r="A56" s="59"/>
      <c r="B56" s="59"/>
      <c r="C56" s="59"/>
      <c r="D56" s="59"/>
      <c r="E56" s="732"/>
      <c r="F56" s="171"/>
      <c r="G56" s="59"/>
      <c r="H56" s="541"/>
      <c r="I56" s="59"/>
      <c r="J56" s="541"/>
      <c r="K56" s="59"/>
      <c r="L56" s="541"/>
      <c r="M56" s="59"/>
      <c r="N56" s="541"/>
      <c r="O56" s="59"/>
      <c r="P56" s="541"/>
      <c r="Q56" s="59"/>
      <c r="R56" s="541"/>
      <c r="S56" s="698">
        <v>26.0</v>
      </c>
      <c r="T56" s="705">
        <v>6.0</v>
      </c>
    </row>
    <row r="57">
      <c r="A57" s="59"/>
      <c r="B57" s="59"/>
      <c r="C57" s="59"/>
      <c r="D57" s="59"/>
      <c r="E57" s="732"/>
      <c r="F57" s="171"/>
      <c r="G57" s="59"/>
      <c r="H57" s="541"/>
      <c r="I57" s="59"/>
      <c r="J57" s="541"/>
      <c r="K57" s="59"/>
      <c r="L57" s="541"/>
      <c r="M57" s="59"/>
      <c r="N57" s="541"/>
      <c r="O57" s="59"/>
      <c r="P57" s="541"/>
      <c r="Q57" s="59"/>
      <c r="R57" s="541"/>
      <c r="S57" s="698">
        <v>27.0</v>
      </c>
      <c r="T57" s="705">
        <v>7.0</v>
      </c>
    </row>
    <row r="58">
      <c r="A58" s="59"/>
      <c r="B58" s="59"/>
      <c r="C58" s="59"/>
      <c r="D58" s="59"/>
      <c r="E58" s="732"/>
      <c r="F58" s="171"/>
      <c r="G58" s="59"/>
      <c r="H58" s="541"/>
      <c r="I58" s="59"/>
      <c r="J58" s="541"/>
      <c r="K58" s="59"/>
      <c r="L58" s="541"/>
      <c r="M58" s="59"/>
      <c r="N58" s="541"/>
      <c r="O58" s="59"/>
      <c r="P58" s="541"/>
      <c r="Q58" s="59"/>
      <c r="R58" s="59"/>
      <c r="S58" s="702">
        <v>28.0</v>
      </c>
      <c r="T58" s="705">
        <v>8.0</v>
      </c>
    </row>
    <row r="59">
      <c r="A59" s="59"/>
      <c r="B59" s="59"/>
      <c r="C59" s="59"/>
      <c r="D59" s="59"/>
      <c r="E59" s="732"/>
      <c r="F59" s="171"/>
      <c r="G59" s="59"/>
      <c r="H59" s="541"/>
      <c r="I59" s="59"/>
      <c r="J59" s="541"/>
      <c r="K59" s="59"/>
      <c r="L59" s="541"/>
      <c r="M59" s="59"/>
      <c r="N59" s="541"/>
      <c r="O59" s="59"/>
      <c r="P59" s="541"/>
      <c r="Q59" s="59"/>
      <c r="R59" s="541"/>
      <c r="S59" s="704">
        <v>29.0</v>
      </c>
      <c r="T59" s="705">
        <v>9.0</v>
      </c>
    </row>
    <row r="60">
      <c r="A60" s="59"/>
      <c r="B60" s="59"/>
      <c r="C60" s="59"/>
      <c r="D60" s="739"/>
      <c r="E60" s="732"/>
      <c r="F60" s="171"/>
      <c r="G60" s="59"/>
      <c r="H60" s="541"/>
      <c r="I60" s="59"/>
      <c r="J60" s="541"/>
      <c r="K60" s="59"/>
      <c r="L60" s="541"/>
      <c r="M60" s="59"/>
      <c r="N60" s="541"/>
      <c r="O60" s="59"/>
      <c r="P60" s="541"/>
      <c r="Q60" s="59"/>
      <c r="R60" s="541"/>
      <c r="S60" s="704">
        <v>30.0</v>
      </c>
      <c r="T60" s="705">
        <v>10.0</v>
      </c>
    </row>
    <row r="61">
      <c r="A61" s="59"/>
      <c r="B61" s="59"/>
      <c r="C61" s="59"/>
      <c r="D61" s="739"/>
      <c r="E61" s="732"/>
      <c r="F61" s="171"/>
      <c r="G61" s="59"/>
      <c r="H61" s="541"/>
      <c r="I61" s="59"/>
      <c r="J61" s="541"/>
      <c r="K61" s="59"/>
      <c r="L61" s="541"/>
      <c r="M61" s="59"/>
      <c r="N61" s="541"/>
      <c r="O61" s="59"/>
      <c r="P61" s="541"/>
      <c r="Q61" s="59"/>
      <c r="R61" s="541"/>
      <c r="S61" s="704">
        <v>21.0</v>
      </c>
      <c r="T61" s="705">
        <v>21.0</v>
      </c>
    </row>
    <row r="62">
      <c r="A62" s="59"/>
      <c r="B62" s="59"/>
      <c r="C62" s="59"/>
      <c r="D62" s="739"/>
      <c r="E62" s="732"/>
      <c r="F62" s="171"/>
      <c r="G62" s="59"/>
      <c r="H62" s="541"/>
      <c r="I62" s="59"/>
      <c r="J62" s="541"/>
      <c r="K62" s="59"/>
      <c r="L62" s="541"/>
      <c r="M62" s="59"/>
      <c r="N62" s="541"/>
      <c r="O62" s="59"/>
      <c r="P62" s="541"/>
      <c r="Q62" s="59"/>
      <c r="R62" s="541"/>
      <c r="S62" s="704">
        <v>22.0</v>
      </c>
      <c r="T62" s="705">
        <v>22.0</v>
      </c>
    </row>
    <row r="63">
      <c r="A63" s="59"/>
      <c r="B63" s="59"/>
      <c r="C63" s="59"/>
      <c r="D63" s="739"/>
      <c r="E63" s="732"/>
      <c r="F63" s="171"/>
      <c r="G63" s="59"/>
      <c r="H63" s="541"/>
      <c r="I63" s="59"/>
      <c r="J63" s="541"/>
      <c r="K63" s="59"/>
      <c r="L63" s="541"/>
      <c r="M63" s="59"/>
      <c r="N63" s="541"/>
      <c r="O63" s="59"/>
      <c r="P63" s="541"/>
      <c r="Q63" s="59"/>
      <c r="R63" s="541"/>
      <c r="S63" s="704">
        <v>23.0</v>
      </c>
      <c r="T63" s="705">
        <v>23.0</v>
      </c>
    </row>
    <row r="64">
      <c r="A64" s="59"/>
      <c r="B64" s="59"/>
      <c r="C64" s="59"/>
      <c r="D64" s="739"/>
      <c r="E64" s="732"/>
      <c r="F64" s="171"/>
      <c r="G64" s="59"/>
      <c r="H64" s="541"/>
      <c r="I64" s="59"/>
      <c r="J64" s="541"/>
      <c r="K64" s="59"/>
      <c r="L64" s="541"/>
      <c r="M64" s="59"/>
      <c r="N64" s="541"/>
      <c r="O64" s="59"/>
      <c r="P64" s="541"/>
      <c r="Q64" s="59"/>
      <c r="R64" s="541"/>
      <c r="S64" s="704">
        <v>24.0</v>
      </c>
      <c r="T64" s="705">
        <v>24.0</v>
      </c>
    </row>
    <row r="65">
      <c r="A65" s="59"/>
      <c r="B65" s="59"/>
      <c r="C65" s="59"/>
      <c r="D65" s="739"/>
      <c r="E65" s="732"/>
      <c r="F65" s="171"/>
      <c r="G65" s="59"/>
      <c r="H65" s="541"/>
      <c r="I65" s="59"/>
      <c r="J65" s="541"/>
      <c r="K65" s="59"/>
      <c r="L65" s="541"/>
      <c r="M65" s="59"/>
      <c r="N65" s="541"/>
      <c r="O65" s="59"/>
      <c r="P65" s="541"/>
      <c r="Q65" s="59"/>
      <c r="R65" s="541"/>
      <c r="S65" s="704">
        <v>25.0</v>
      </c>
      <c r="T65" s="705">
        <v>25.0</v>
      </c>
    </row>
    <row r="66">
      <c r="A66" s="59"/>
      <c r="B66" s="59"/>
      <c r="C66" s="59"/>
      <c r="D66" s="739"/>
      <c r="E66" s="732"/>
      <c r="F66" s="171"/>
      <c r="G66" s="59"/>
      <c r="H66" s="541"/>
      <c r="I66" s="59"/>
      <c r="J66" s="541"/>
      <c r="K66" s="59"/>
      <c r="L66" s="541"/>
      <c r="M66" s="59"/>
      <c r="N66" s="541"/>
      <c r="O66" s="59"/>
      <c r="P66" s="541"/>
      <c r="Q66" s="59"/>
      <c r="R66" s="541"/>
      <c r="S66" s="704">
        <v>26.0</v>
      </c>
      <c r="T66" s="705">
        <v>26.0</v>
      </c>
    </row>
    <row r="67">
      <c r="A67" s="59"/>
      <c r="B67" s="59"/>
      <c r="C67" s="59"/>
      <c r="D67" s="739"/>
      <c r="E67" s="732"/>
      <c r="F67" s="171"/>
      <c r="G67" s="59"/>
      <c r="H67" s="541"/>
      <c r="I67" s="59"/>
      <c r="J67" s="541"/>
      <c r="K67" s="59"/>
      <c r="L67" s="541"/>
      <c r="M67" s="59"/>
      <c r="N67" s="541"/>
      <c r="O67" s="59"/>
      <c r="P67" s="541"/>
      <c r="Q67" s="59"/>
      <c r="R67" s="541"/>
      <c r="S67" s="704">
        <v>27.0</v>
      </c>
      <c r="T67" s="705">
        <v>27.0</v>
      </c>
    </row>
    <row r="68">
      <c r="A68" s="59"/>
      <c r="B68" s="59"/>
      <c r="C68" s="59"/>
      <c r="D68" s="739"/>
      <c r="E68" s="732"/>
      <c r="F68" s="171"/>
      <c r="G68" s="59"/>
      <c r="H68" s="541"/>
      <c r="I68" s="59"/>
      <c r="J68" s="541"/>
      <c r="K68" s="59"/>
      <c r="L68" s="541"/>
      <c r="M68" s="59"/>
      <c r="N68" s="541"/>
      <c r="O68" s="59"/>
      <c r="P68" s="541"/>
      <c r="Q68" s="59"/>
      <c r="R68" s="541"/>
      <c r="S68" s="704">
        <v>28.0</v>
      </c>
      <c r="T68" s="705">
        <v>28.0</v>
      </c>
    </row>
    <row r="69">
      <c r="A69" s="59"/>
      <c r="B69" s="59"/>
      <c r="C69" s="59"/>
      <c r="D69" s="59"/>
      <c r="E69" s="732"/>
      <c r="F69" s="171"/>
      <c r="G69" s="59"/>
      <c r="H69" s="541"/>
      <c r="I69" s="59"/>
      <c r="J69" s="541"/>
      <c r="K69" s="59"/>
      <c r="L69" s="541"/>
      <c r="M69" s="59"/>
      <c r="N69" s="541"/>
      <c r="O69" s="59"/>
      <c r="P69" s="541"/>
      <c r="Q69" s="59"/>
      <c r="R69" s="59"/>
      <c r="S69" s="702">
        <v>29.0</v>
      </c>
      <c r="T69" s="705">
        <v>29.0</v>
      </c>
    </row>
    <row r="70">
      <c r="A70" s="59"/>
      <c r="B70" s="59"/>
      <c r="C70" s="59"/>
      <c r="D70" s="59"/>
      <c r="E70" s="732"/>
      <c r="F70" s="171"/>
      <c r="G70" s="59"/>
      <c r="H70" s="541"/>
      <c r="I70" s="59"/>
      <c r="J70" s="541"/>
      <c r="K70" s="59"/>
      <c r="L70" s="541"/>
      <c r="M70" s="59"/>
      <c r="N70" s="541"/>
      <c r="O70" s="59"/>
      <c r="P70" s="541"/>
      <c r="Q70" s="59"/>
      <c r="R70" s="541"/>
      <c r="S70" s="704">
        <v>30.0</v>
      </c>
      <c r="T70" s="705">
        <v>30.0</v>
      </c>
    </row>
    <row r="71">
      <c r="A71" s="59"/>
      <c r="B71" s="59"/>
      <c r="C71" s="59"/>
      <c r="D71" s="59"/>
      <c r="E71" s="740"/>
      <c r="F71" s="527"/>
      <c r="G71" s="741"/>
      <c r="H71" s="527"/>
      <c r="I71" s="741"/>
      <c r="J71" s="527"/>
      <c r="K71" s="741"/>
      <c r="L71" s="527"/>
      <c r="M71" s="741"/>
      <c r="N71" s="527"/>
      <c r="O71" s="741"/>
      <c r="P71" s="527"/>
      <c r="Q71" s="741"/>
      <c r="R71" s="527"/>
      <c r="S71" s="741"/>
      <c r="T71" s="742"/>
    </row>
    <row r="72">
      <c r="A72" s="59"/>
      <c r="B72" s="59"/>
      <c r="C72" s="59"/>
      <c r="D72" s="59"/>
      <c r="E72" s="743" t="s">
        <v>1132</v>
      </c>
      <c r="F72" s="171"/>
      <c r="G72" s="698" t="s">
        <v>1092</v>
      </c>
      <c r="H72" s="697" t="s">
        <v>1093</v>
      </c>
      <c r="I72" s="698" t="s">
        <v>1092</v>
      </c>
      <c r="J72" s="697" t="s">
        <v>1093</v>
      </c>
      <c r="K72" s="698" t="s">
        <v>1092</v>
      </c>
      <c r="L72" s="697" t="s">
        <v>1093</v>
      </c>
      <c r="M72" s="698" t="s">
        <v>1092</v>
      </c>
      <c r="N72" s="697" t="s">
        <v>1093</v>
      </c>
      <c r="O72" s="698" t="s">
        <v>1092</v>
      </c>
      <c r="P72" s="697" t="s">
        <v>1093</v>
      </c>
      <c r="Q72" s="698" t="s">
        <v>1092</v>
      </c>
      <c r="R72" s="697" t="s">
        <v>1093</v>
      </c>
      <c r="S72" s="698" t="s">
        <v>1092</v>
      </c>
      <c r="T72" s="699" t="s">
        <v>1093</v>
      </c>
    </row>
    <row r="73">
      <c r="A73" s="59"/>
      <c r="B73" s="59"/>
      <c r="C73" s="59"/>
      <c r="D73" s="59"/>
      <c r="E73" s="732"/>
      <c r="F73" s="171"/>
      <c r="G73" s="698"/>
      <c r="H73" s="697"/>
      <c r="I73" s="698"/>
      <c r="J73" s="697"/>
      <c r="K73" s="698"/>
      <c r="L73" s="697"/>
      <c r="M73" s="698"/>
      <c r="N73" s="697"/>
      <c r="O73" s="698"/>
      <c r="P73" s="697"/>
      <c r="Q73" s="698"/>
      <c r="R73" s="697"/>
      <c r="S73" s="698"/>
      <c r="T73" s="699"/>
    </row>
    <row r="74">
      <c r="A74" s="59"/>
      <c r="B74" s="59"/>
      <c r="C74" s="59"/>
      <c r="D74" s="59"/>
      <c r="E74" s="744"/>
      <c r="F74" s="721"/>
      <c r="G74" s="569"/>
      <c r="H74" s="553"/>
      <c r="I74" s="569"/>
      <c r="J74" s="553"/>
      <c r="K74" s="569"/>
      <c r="L74" s="553"/>
      <c r="M74" s="569"/>
      <c r="N74" s="553"/>
      <c r="O74" s="569"/>
      <c r="P74" s="553"/>
      <c r="Q74" s="569"/>
      <c r="R74" s="553"/>
      <c r="S74" s="569"/>
      <c r="T74" s="745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</row>
    <row r="78">
      <c r="A78" s="59"/>
      <c r="B78" s="59"/>
      <c r="C78" s="59"/>
      <c r="D78" s="5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</row>
    <row r="79">
      <c r="A79" s="59"/>
      <c r="B79" s="59"/>
      <c r="C79" s="59"/>
      <c r="D79" s="59"/>
      <c r="E79" s="746" t="s">
        <v>1133</v>
      </c>
      <c r="T79" s="245"/>
    </row>
    <row r="80">
      <c r="A80" s="59"/>
      <c r="B80" s="59"/>
      <c r="C80" s="59"/>
      <c r="D80" s="59"/>
      <c r="E80" s="728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691"/>
    </row>
    <row r="81">
      <c r="A81" s="59"/>
      <c r="B81" s="59"/>
      <c r="C81" s="59"/>
      <c r="D81" s="59"/>
      <c r="E81" s="747" t="s">
        <v>1083</v>
      </c>
      <c r="F81" s="171"/>
      <c r="G81" s="693" t="s">
        <v>1084</v>
      </c>
      <c r="H81" s="69"/>
      <c r="I81" s="693" t="s">
        <v>1085</v>
      </c>
      <c r="J81" s="69"/>
      <c r="K81" s="693" t="s">
        <v>1086</v>
      </c>
      <c r="L81" s="69"/>
      <c r="M81" s="693" t="s">
        <v>1087</v>
      </c>
      <c r="N81" s="69"/>
      <c r="O81" s="693" t="s">
        <v>1088</v>
      </c>
      <c r="P81" s="69"/>
      <c r="Q81" s="693" t="s">
        <v>1089</v>
      </c>
      <c r="R81" s="69"/>
      <c r="S81" s="693" t="s">
        <v>1090</v>
      </c>
      <c r="T81" s="691"/>
    </row>
    <row r="82">
      <c r="A82" s="59"/>
      <c r="B82" s="59"/>
      <c r="C82" s="59"/>
      <c r="D82" s="59"/>
      <c r="E82" s="731"/>
      <c r="F82" s="171"/>
      <c r="G82" s="698" t="s">
        <v>1092</v>
      </c>
      <c r="H82" s="697" t="s">
        <v>1093</v>
      </c>
      <c r="I82" s="698" t="s">
        <v>1092</v>
      </c>
      <c r="J82" s="697" t="s">
        <v>1093</v>
      </c>
      <c r="K82" s="698" t="s">
        <v>1092</v>
      </c>
      <c r="L82" s="697" t="s">
        <v>1093</v>
      </c>
      <c r="M82" s="698" t="s">
        <v>1092</v>
      </c>
      <c r="N82" s="697" t="s">
        <v>1093</v>
      </c>
      <c r="O82" s="698" t="s">
        <v>1092</v>
      </c>
      <c r="P82" s="697" t="s">
        <v>1093</v>
      </c>
      <c r="Q82" s="698" t="s">
        <v>1092</v>
      </c>
      <c r="R82" s="697" t="s">
        <v>1093</v>
      </c>
      <c r="S82" s="698" t="s">
        <v>1092</v>
      </c>
      <c r="T82" s="699" t="s">
        <v>1093</v>
      </c>
    </row>
    <row r="83">
      <c r="A83" s="59"/>
      <c r="B83" s="59"/>
      <c r="C83" s="59"/>
      <c r="D83" s="59"/>
      <c r="E83" s="732"/>
      <c r="F83" s="171"/>
      <c r="G83" s="748">
        <v>22.0</v>
      </c>
      <c r="H83" s="749">
        <v>18.0</v>
      </c>
      <c r="I83" s="748">
        <v>26.0</v>
      </c>
      <c r="J83" s="749">
        <v>18.0</v>
      </c>
      <c r="K83" s="748">
        <v>32.0</v>
      </c>
      <c r="L83" s="749">
        <v>18.0</v>
      </c>
      <c r="M83" s="748">
        <v>36.0</v>
      </c>
      <c r="N83" s="749">
        <v>18.0</v>
      </c>
      <c r="O83" s="748">
        <v>2.0</v>
      </c>
      <c r="P83" s="749">
        <v>18.0</v>
      </c>
      <c r="Q83" s="748">
        <v>6.0</v>
      </c>
      <c r="R83" s="749">
        <v>18.0</v>
      </c>
      <c r="S83" s="748">
        <v>30.0</v>
      </c>
      <c r="T83" s="750">
        <v>18.0</v>
      </c>
    </row>
    <row r="84">
      <c r="A84" s="59"/>
      <c r="B84" s="59"/>
      <c r="C84" s="59"/>
      <c r="D84" s="59"/>
      <c r="E84" s="747" t="s">
        <v>1096</v>
      </c>
      <c r="F84" s="171"/>
      <c r="G84" s="711" t="s">
        <v>1097</v>
      </c>
      <c r="H84" s="69"/>
      <c r="I84" s="711" t="s">
        <v>1098</v>
      </c>
      <c r="J84" s="69"/>
      <c r="K84" s="711" t="s">
        <v>1099</v>
      </c>
      <c r="L84" s="69"/>
      <c r="M84" s="711" t="s">
        <v>1100</v>
      </c>
      <c r="N84" s="69"/>
      <c r="O84" s="711" t="s">
        <v>1101</v>
      </c>
      <c r="P84" s="69"/>
      <c r="Q84" s="711" t="s">
        <v>1102</v>
      </c>
      <c r="R84" s="69"/>
      <c r="S84" s="711" t="s">
        <v>1103</v>
      </c>
      <c r="T84" s="691"/>
    </row>
    <row r="85">
      <c r="A85" s="59"/>
      <c r="B85" s="59"/>
      <c r="C85" s="59"/>
      <c r="D85" s="59"/>
      <c r="E85" s="738">
        <v>2.0</v>
      </c>
      <c r="F85" s="171"/>
      <c r="G85" s="698" t="s">
        <v>1092</v>
      </c>
      <c r="H85" s="697" t="s">
        <v>1093</v>
      </c>
      <c r="I85" s="698" t="s">
        <v>1092</v>
      </c>
      <c r="J85" s="697" t="s">
        <v>1093</v>
      </c>
      <c r="K85" s="698" t="s">
        <v>1092</v>
      </c>
      <c r="L85" s="697" t="s">
        <v>1093</v>
      </c>
      <c r="M85" s="698" t="s">
        <v>1092</v>
      </c>
      <c r="N85" s="697" t="s">
        <v>1093</v>
      </c>
      <c r="O85" s="698" t="s">
        <v>1092</v>
      </c>
      <c r="P85" s="697" t="s">
        <v>1093</v>
      </c>
      <c r="Q85" s="698" t="s">
        <v>1092</v>
      </c>
      <c r="R85" s="697" t="s">
        <v>1093</v>
      </c>
      <c r="S85" s="698" t="s">
        <v>1092</v>
      </c>
      <c r="T85" s="699" t="s">
        <v>1093</v>
      </c>
    </row>
    <row r="86">
      <c r="A86" s="59"/>
      <c r="B86" s="59"/>
      <c r="C86" s="59"/>
      <c r="D86" s="59"/>
      <c r="E86" s="732"/>
      <c r="F86" s="171"/>
      <c r="G86" s="748">
        <v>23.0</v>
      </c>
      <c r="H86" s="749">
        <v>18.0</v>
      </c>
      <c r="I86" s="748">
        <v>27.0</v>
      </c>
      <c r="J86" s="749">
        <v>18.0</v>
      </c>
      <c r="K86" s="748">
        <v>33.0</v>
      </c>
      <c r="L86" s="749">
        <v>18.0</v>
      </c>
      <c r="M86" s="748">
        <v>37.0</v>
      </c>
      <c r="N86" s="749">
        <v>18.0</v>
      </c>
      <c r="O86" s="748">
        <v>3.0</v>
      </c>
      <c r="P86" s="749">
        <v>18.0</v>
      </c>
      <c r="Q86" s="748">
        <v>7.0</v>
      </c>
      <c r="R86" s="749">
        <v>18.0</v>
      </c>
      <c r="S86" s="748">
        <v>40.0</v>
      </c>
      <c r="T86" s="750">
        <v>18.0</v>
      </c>
    </row>
    <row r="87">
      <c r="A87" s="59"/>
      <c r="B87" s="59"/>
      <c r="C87" s="59"/>
      <c r="D87" s="59"/>
      <c r="E87" s="747" t="s">
        <v>1104</v>
      </c>
      <c r="F87" s="171"/>
      <c r="G87" s="711" t="s">
        <v>1105</v>
      </c>
      <c r="H87" s="69"/>
      <c r="I87" s="711" t="s">
        <v>1106</v>
      </c>
      <c r="J87" s="69"/>
      <c r="K87" s="711" t="s">
        <v>1107</v>
      </c>
      <c r="L87" s="69"/>
      <c r="M87" s="711" t="s">
        <v>1108</v>
      </c>
      <c r="N87" s="69"/>
      <c r="O87" s="711" t="s">
        <v>1109</v>
      </c>
      <c r="P87" s="69"/>
      <c r="Q87" s="711" t="s">
        <v>1110</v>
      </c>
      <c r="R87" s="69"/>
      <c r="S87" s="711" t="s">
        <v>1111</v>
      </c>
      <c r="T87" s="691"/>
    </row>
    <row r="88">
      <c r="A88" s="59"/>
      <c r="B88" s="59"/>
      <c r="C88" s="59"/>
      <c r="D88" s="59"/>
      <c r="E88" s="731"/>
      <c r="F88" s="171"/>
      <c r="G88" s="698" t="s">
        <v>1092</v>
      </c>
      <c r="H88" s="697" t="s">
        <v>1093</v>
      </c>
      <c r="I88" s="698" t="s">
        <v>1092</v>
      </c>
      <c r="J88" s="697" t="s">
        <v>1093</v>
      </c>
      <c r="K88" s="698" t="s">
        <v>1092</v>
      </c>
      <c r="L88" s="697" t="s">
        <v>1093</v>
      </c>
      <c r="M88" s="698" t="s">
        <v>1092</v>
      </c>
      <c r="N88" s="697" t="s">
        <v>1093</v>
      </c>
      <c r="O88" s="698" t="s">
        <v>1092</v>
      </c>
      <c r="P88" s="697" t="s">
        <v>1093</v>
      </c>
      <c r="Q88" s="698" t="s">
        <v>1092</v>
      </c>
      <c r="R88" s="697" t="s">
        <v>1093</v>
      </c>
      <c r="S88" s="698" t="s">
        <v>1092</v>
      </c>
      <c r="T88" s="699" t="s">
        <v>1093</v>
      </c>
    </row>
    <row r="89">
      <c r="A89" s="59"/>
      <c r="B89" s="59"/>
      <c r="C89" s="59"/>
      <c r="D89" s="59"/>
      <c r="E89" s="732"/>
      <c r="F89" s="171"/>
      <c r="G89" s="704">
        <v>24.0</v>
      </c>
      <c r="H89" s="703">
        <v>18.0</v>
      </c>
      <c r="I89" s="704">
        <v>28.0</v>
      </c>
      <c r="J89" s="703">
        <v>18.0</v>
      </c>
      <c r="K89" s="748">
        <v>34.0</v>
      </c>
      <c r="L89" s="749">
        <v>18.0</v>
      </c>
      <c r="M89" s="748">
        <v>38.0</v>
      </c>
      <c r="N89" s="749">
        <v>18.0</v>
      </c>
      <c r="O89" s="748">
        <v>4.0</v>
      </c>
      <c r="P89" s="749">
        <v>18.0</v>
      </c>
      <c r="Q89" s="748">
        <v>8.0</v>
      </c>
      <c r="R89" s="749">
        <v>18.0</v>
      </c>
      <c r="S89" s="748">
        <v>10.0</v>
      </c>
      <c r="T89" s="750">
        <v>18.0</v>
      </c>
    </row>
    <row r="90">
      <c r="A90" s="59"/>
      <c r="B90" s="59"/>
      <c r="C90" s="59"/>
      <c r="D90" s="59"/>
      <c r="E90" s="751"/>
      <c r="F90" s="171"/>
      <c r="G90" s="711" t="s">
        <v>1112</v>
      </c>
      <c r="H90" s="69"/>
      <c r="I90" s="711" t="s">
        <v>1113</v>
      </c>
      <c r="J90" s="69"/>
      <c r="K90" s="711" t="s">
        <v>1114</v>
      </c>
      <c r="L90" s="69"/>
      <c r="M90" s="711" t="s">
        <v>1115</v>
      </c>
      <c r="N90" s="69"/>
      <c r="O90" s="711" t="s">
        <v>1116</v>
      </c>
      <c r="P90" s="69"/>
      <c r="Q90" s="711" t="s">
        <v>1117</v>
      </c>
      <c r="R90" s="69"/>
      <c r="S90" s="718"/>
      <c r="T90" s="691"/>
    </row>
    <row r="91">
      <c r="A91" s="59"/>
      <c r="B91" s="59"/>
      <c r="C91" s="59"/>
      <c r="D91" s="59"/>
      <c r="E91" s="743" t="s">
        <v>1134</v>
      </c>
      <c r="F91" s="171"/>
      <c r="G91" s="698" t="s">
        <v>1092</v>
      </c>
      <c r="H91" s="697" t="s">
        <v>1093</v>
      </c>
      <c r="I91" s="698" t="s">
        <v>1092</v>
      </c>
      <c r="J91" s="697" t="s">
        <v>1093</v>
      </c>
      <c r="K91" s="698" t="s">
        <v>1092</v>
      </c>
      <c r="L91" s="697" t="s">
        <v>1093</v>
      </c>
      <c r="M91" s="698" t="s">
        <v>1092</v>
      </c>
      <c r="N91" s="697" t="s">
        <v>1093</v>
      </c>
      <c r="O91" s="698" t="s">
        <v>1092</v>
      </c>
      <c r="P91" s="697" t="s">
        <v>1093</v>
      </c>
      <c r="Q91" s="698" t="s">
        <v>1092</v>
      </c>
      <c r="R91" s="697" t="s">
        <v>1093</v>
      </c>
      <c r="S91" s="698" t="s">
        <v>1092</v>
      </c>
      <c r="T91" s="699" t="s">
        <v>1093</v>
      </c>
    </row>
    <row r="92">
      <c r="A92" s="59"/>
      <c r="B92" s="59"/>
      <c r="C92" s="59"/>
      <c r="D92" s="59"/>
      <c r="E92" s="744"/>
      <c r="F92" s="721"/>
      <c r="G92" s="724">
        <v>25.0</v>
      </c>
      <c r="H92" s="723">
        <v>18.0</v>
      </c>
      <c r="I92" s="724">
        <v>29.0</v>
      </c>
      <c r="J92" s="723">
        <v>18.0</v>
      </c>
      <c r="K92" s="724">
        <v>35.0</v>
      </c>
      <c r="L92" s="723">
        <v>18.0</v>
      </c>
      <c r="M92" s="724">
        <v>39.0</v>
      </c>
      <c r="N92" s="723">
        <v>18.0</v>
      </c>
      <c r="O92" s="724">
        <v>5.0</v>
      </c>
      <c r="P92" s="723">
        <v>18.0</v>
      </c>
      <c r="Q92" s="724">
        <v>9.0</v>
      </c>
      <c r="R92" s="723">
        <v>18.0</v>
      </c>
      <c r="S92" s="569"/>
      <c r="T92" s="752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698"/>
      <c r="L93" s="698"/>
      <c r="M93" s="698"/>
      <c r="N93" s="698"/>
      <c r="O93" s="59"/>
      <c r="P93" s="59"/>
      <c r="Q93" s="59"/>
      <c r="R93" s="59"/>
      <c r="S93" s="59"/>
      <c r="T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</row>
    <row r="96">
      <c r="A96" s="59"/>
      <c r="B96" s="59"/>
      <c r="C96" s="59"/>
      <c r="D96" s="5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69"/>
      <c r="P96" s="569"/>
      <c r="Q96" s="569"/>
      <c r="R96" s="569"/>
      <c r="S96" s="569"/>
      <c r="T96" s="569"/>
    </row>
    <row r="97">
      <c r="A97" s="59"/>
      <c r="B97" s="59"/>
      <c r="C97" s="59"/>
      <c r="D97" s="59"/>
      <c r="E97" s="746" t="s">
        <v>1135</v>
      </c>
      <c r="T97" s="245"/>
    </row>
    <row r="98">
      <c r="A98" s="59"/>
      <c r="B98" s="59"/>
      <c r="C98" s="59"/>
      <c r="D98" s="59"/>
      <c r="E98" s="728"/>
      <c r="F98" s="465"/>
      <c r="G98" s="465"/>
      <c r="H98" s="465"/>
      <c r="I98" s="465"/>
      <c r="J98" s="465"/>
      <c r="K98" s="465"/>
      <c r="L98" s="465"/>
      <c r="M98" s="465"/>
      <c r="N98" s="465"/>
      <c r="O98" s="465"/>
      <c r="P98" s="465"/>
      <c r="Q98" s="465"/>
      <c r="R98" s="465"/>
      <c r="S98" s="465"/>
      <c r="T98" s="691"/>
    </row>
    <row r="99">
      <c r="A99" s="59"/>
      <c r="B99" s="59"/>
      <c r="C99" s="59"/>
      <c r="D99" s="59"/>
      <c r="E99" s="747" t="s">
        <v>1083</v>
      </c>
      <c r="F99" s="171"/>
      <c r="G99" s="753" t="s">
        <v>535</v>
      </c>
      <c r="H99" s="171"/>
      <c r="I99" s="754" t="s">
        <v>1136</v>
      </c>
      <c r="J99" s="171"/>
      <c r="K99" s="754" t="s">
        <v>1137</v>
      </c>
      <c r="L99" s="171"/>
      <c r="M99" s="754" t="s">
        <v>1138</v>
      </c>
      <c r="N99" s="171"/>
      <c r="O99" s="754" t="s">
        <v>1139</v>
      </c>
      <c r="P99" s="171"/>
      <c r="Q99" s="754" t="s">
        <v>1140</v>
      </c>
      <c r="R99" s="171"/>
      <c r="S99" s="753"/>
      <c r="T99" s="245"/>
    </row>
    <row r="100">
      <c r="A100" s="59"/>
      <c r="B100" s="59"/>
      <c r="C100" s="59"/>
      <c r="D100" s="59"/>
      <c r="E100" s="731"/>
      <c r="F100" s="171"/>
      <c r="G100" s="698" t="s">
        <v>1092</v>
      </c>
      <c r="H100" s="697" t="s">
        <v>1093</v>
      </c>
      <c r="I100" s="698" t="s">
        <v>1092</v>
      </c>
      <c r="J100" s="697" t="s">
        <v>1093</v>
      </c>
      <c r="K100" s="698" t="s">
        <v>1092</v>
      </c>
      <c r="L100" s="697" t="s">
        <v>1093</v>
      </c>
      <c r="M100" s="698" t="s">
        <v>1092</v>
      </c>
      <c r="N100" s="697" t="s">
        <v>1093</v>
      </c>
      <c r="O100" s="698" t="s">
        <v>1092</v>
      </c>
      <c r="P100" s="697" t="s">
        <v>1093</v>
      </c>
      <c r="Q100" s="698" t="s">
        <v>1092</v>
      </c>
      <c r="R100" s="697" t="s">
        <v>1093</v>
      </c>
      <c r="S100" s="698" t="s">
        <v>1092</v>
      </c>
      <c r="T100" s="699" t="s">
        <v>1093</v>
      </c>
    </row>
    <row r="101">
      <c r="A101" s="59"/>
      <c r="B101" s="59"/>
      <c r="C101" s="59"/>
      <c r="D101" s="59"/>
      <c r="E101" s="732"/>
      <c r="F101" s="171"/>
      <c r="G101" s="748">
        <v>73.0</v>
      </c>
      <c r="H101" s="749">
        <v>20.0</v>
      </c>
      <c r="I101" s="748">
        <v>61.0</v>
      </c>
      <c r="J101" s="749">
        <v>20.0</v>
      </c>
      <c r="K101" s="748">
        <v>62.0</v>
      </c>
      <c r="L101" s="749">
        <v>20.0</v>
      </c>
      <c r="M101" s="748">
        <v>63.0</v>
      </c>
      <c r="N101" s="749">
        <v>20.0</v>
      </c>
      <c r="O101" s="748">
        <v>64.0</v>
      </c>
      <c r="P101" s="749">
        <v>20.0</v>
      </c>
      <c r="Q101" s="748">
        <v>65.0</v>
      </c>
      <c r="R101" s="749">
        <v>20.0</v>
      </c>
      <c r="S101" s="755"/>
      <c r="T101" s="750"/>
    </row>
    <row r="102">
      <c r="A102" s="59"/>
      <c r="B102" s="59"/>
      <c r="C102" s="59"/>
      <c r="D102" s="59"/>
      <c r="E102" s="747" t="s">
        <v>1096</v>
      </c>
      <c r="F102" s="171"/>
      <c r="G102" s="756"/>
      <c r="H102" s="171"/>
      <c r="I102" s="754" t="s">
        <v>1141</v>
      </c>
      <c r="J102" s="171"/>
      <c r="K102" s="754" t="s">
        <v>1142</v>
      </c>
      <c r="L102" s="171"/>
      <c r="M102" s="754" t="s">
        <v>1143</v>
      </c>
      <c r="N102" s="171"/>
      <c r="O102" s="754" t="s">
        <v>1144</v>
      </c>
      <c r="P102" s="171"/>
      <c r="Q102" s="754" t="s">
        <v>1145</v>
      </c>
      <c r="R102" s="171"/>
      <c r="S102" s="753"/>
      <c r="T102" s="245"/>
    </row>
    <row r="103">
      <c r="A103" s="59"/>
      <c r="B103" s="59"/>
      <c r="C103" s="59"/>
      <c r="D103" s="59"/>
      <c r="E103" s="738">
        <v>4.0</v>
      </c>
      <c r="F103" s="171"/>
      <c r="G103" s="698" t="s">
        <v>1092</v>
      </c>
      <c r="H103" s="697" t="s">
        <v>1093</v>
      </c>
      <c r="I103" s="698" t="s">
        <v>1092</v>
      </c>
      <c r="J103" s="697" t="s">
        <v>1093</v>
      </c>
      <c r="K103" s="698" t="s">
        <v>1092</v>
      </c>
      <c r="L103" s="697" t="s">
        <v>1093</v>
      </c>
      <c r="M103" s="698" t="s">
        <v>1092</v>
      </c>
      <c r="N103" s="697" t="s">
        <v>1093</v>
      </c>
      <c r="O103" s="698" t="s">
        <v>1092</v>
      </c>
      <c r="P103" s="697" t="s">
        <v>1093</v>
      </c>
      <c r="Q103" s="698" t="s">
        <v>1092</v>
      </c>
      <c r="R103" s="697" t="s">
        <v>1093</v>
      </c>
      <c r="S103" s="698" t="s">
        <v>1092</v>
      </c>
      <c r="T103" s="699" t="s">
        <v>1093</v>
      </c>
    </row>
    <row r="104">
      <c r="A104" s="59"/>
      <c r="B104" s="59"/>
      <c r="C104" s="59"/>
      <c r="D104" s="59"/>
      <c r="E104" s="732"/>
      <c r="F104" s="171"/>
      <c r="G104" s="757"/>
      <c r="H104" s="749"/>
      <c r="I104" s="755">
        <v>51.0</v>
      </c>
      <c r="J104" s="749">
        <v>20.0</v>
      </c>
      <c r="K104" s="755">
        <v>52.0</v>
      </c>
      <c r="L104" s="749">
        <v>20.0</v>
      </c>
      <c r="M104" s="755">
        <v>53.0</v>
      </c>
      <c r="N104" s="749">
        <v>20.0</v>
      </c>
      <c r="O104" s="755">
        <v>54.0</v>
      </c>
      <c r="P104" s="749">
        <v>20.0</v>
      </c>
      <c r="Q104" s="755">
        <v>55.0</v>
      </c>
      <c r="R104" s="749">
        <v>20.0</v>
      </c>
      <c r="S104" s="755"/>
      <c r="T104" s="750"/>
    </row>
    <row r="105">
      <c r="A105" s="59"/>
      <c r="B105" s="59"/>
      <c r="C105" s="59"/>
      <c r="D105" s="59"/>
      <c r="E105" s="747" t="s">
        <v>1104</v>
      </c>
      <c r="F105" s="171"/>
      <c r="G105" s="756"/>
      <c r="H105" s="171"/>
      <c r="I105" s="754" t="s">
        <v>909</v>
      </c>
      <c r="J105" s="171"/>
      <c r="K105" s="754" t="s">
        <v>911</v>
      </c>
      <c r="L105" s="171"/>
      <c r="M105" s="754" t="s">
        <v>913</v>
      </c>
      <c r="N105" s="171"/>
      <c r="O105" s="754" t="s">
        <v>915</v>
      </c>
      <c r="P105" s="171"/>
      <c r="Q105" s="754" t="s">
        <v>917</v>
      </c>
      <c r="R105" s="171"/>
      <c r="S105" s="753"/>
      <c r="T105" s="245"/>
    </row>
    <row r="106">
      <c r="A106" s="59"/>
      <c r="B106" s="59"/>
      <c r="C106" s="59"/>
      <c r="D106" s="59"/>
      <c r="E106" s="731"/>
      <c r="F106" s="171"/>
      <c r="G106" s="698" t="s">
        <v>1092</v>
      </c>
      <c r="H106" s="697" t="s">
        <v>1093</v>
      </c>
      <c r="I106" s="698" t="s">
        <v>1092</v>
      </c>
      <c r="J106" s="697" t="s">
        <v>1093</v>
      </c>
      <c r="K106" s="698" t="s">
        <v>1092</v>
      </c>
      <c r="L106" s="697" t="s">
        <v>1093</v>
      </c>
      <c r="M106" s="698" t="s">
        <v>1092</v>
      </c>
      <c r="N106" s="697" t="s">
        <v>1093</v>
      </c>
      <c r="O106" s="698" t="s">
        <v>1092</v>
      </c>
      <c r="P106" s="697" t="s">
        <v>1093</v>
      </c>
      <c r="Q106" s="698" t="s">
        <v>1092</v>
      </c>
      <c r="R106" s="697" t="s">
        <v>1093</v>
      </c>
      <c r="S106" s="698" t="s">
        <v>1092</v>
      </c>
      <c r="T106" s="699" t="s">
        <v>1093</v>
      </c>
    </row>
    <row r="107">
      <c r="A107" s="59"/>
      <c r="B107" s="59"/>
      <c r="C107" s="59"/>
      <c r="D107" s="59"/>
      <c r="E107" s="732"/>
      <c r="F107" s="171"/>
      <c r="G107" s="757"/>
      <c r="H107" s="749"/>
      <c r="I107" s="748">
        <v>41.0</v>
      </c>
      <c r="J107" s="749">
        <v>20.0</v>
      </c>
      <c r="K107" s="748">
        <v>42.0</v>
      </c>
      <c r="L107" s="749">
        <v>20.0</v>
      </c>
      <c r="M107" s="748">
        <v>43.0</v>
      </c>
      <c r="N107" s="749">
        <v>20.0</v>
      </c>
      <c r="O107" s="748">
        <v>44.0</v>
      </c>
      <c r="P107" s="749">
        <v>20.0</v>
      </c>
      <c r="Q107" s="748">
        <v>45.0</v>
      </c>
      <c r="R107" s="749">
        <v>20.0</v>
      </c>
      <c r="S107" s="755"/>
      <c r="T107" s="750"/>
    </row>
    <row r="108">
      <c r="A108" s="59"/>
      <c r="B108" s="59"/>
      <c r="C108" s="59"/>
      <c r="D108" s="59"/>
      <c r="E108" s="751"/>
      <c r="F108" s="171"/>
      <c r="G108" s="756"/>
      <c r="H108" s="171"/>
      <c r="I108" s="756"/>
      <c r="J108" s="171"/>
      <c r="K108" s="756"/>
      <c r="L108" s="171"/>
      <c r="M108" s="756"/>
      <c r="N108" s="171"/>
      <c r="O108" s="756"/>
      <c r="P108" s="171"/>
      <c r="Q108" s="756"/>
      <c r="R108" s="171"/>
      <c r="S108" s="756"/>
      <c r="T108" s="245"/>
    </row>
    <row r="109">
      <c r="A109" s="59"/>
      <c r="B109" s="59"/>
      <c r="C109" s="59"/>
      <c r="D109" s="59"/>
      <c r="E109" s="743" t="s">
        <v>1146</v>
      </c>
      <c r="F109" s="171"/>
      <c r="G109" s="698" t="s">
        <v>1092</v>
      </c>
      <c r="H109" s="697" t="s">
        <v>1093</v>
      </c>
      <c r="I109" s="698" t="s">
        <v>1092</v>
      </c>
      <c r="J109" s="697" t="s">
        <v>1093</v>
      </c>
      <c r="K109" s="698" t="s">
        <v>1092</v>
      </c>
      <c r="L109" s="697" t="s">
        <v>1093</v>
      </c>
      <c r="M109" s="698" t="s">
        <v>1092</v>
      </c>
      <c r="N109" s="697" t="s">
        <v>1093</v>
      </c>
      <c r="O109" s="698" t="s">
        <v>1092</v>
      </c>
      <c r="P109" s="697" t="s">
        <v>1093</v>
      </c>
      <c r="Q109" s="698" t="s">
        <v>1092</v>
      </c>
      <c r="R109" s="697" t="s">
        <v>1093</v>
      </c>
      <c r="S109" s="698" t="s">
        <v>1092</v>
      </c>
      <c r="T109" s="699" t="s">
        <v>1093</v>
      </c>
    </row>
    <row r="110">
      <c r="A110" s="59"/>
      <c r="B110" s="59"/>
      <c r="C110" s="59"/>
      <c r="D110" s="59"/>
      <c r="E110" s="744"/>
      <c r="F110" s="721"/>
      <c r="G110" s="569"/>
      <c r="H110" s="723"/>
      <c r="I110" s="569"/>
      <c r="J110" s="723"/>
      <c r="K110" s="569"/>
      <c r="L110" s="723"/>
      <c r="M110" s="569"/>
      <c r="N110" s="723"/>
      <c r="O110" s="569"/>
      <c r="P110" s="723"/>
      <c r="Q110" s="569"/>
      <c r="R110" s="723"/>
      <c r="S110" s="569"/>
      <c r="T110" s="752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</row>
    <row r="114">
      <c r="A114" s="59"/>
      <c r="B114" s="59"/>
      <c r="C114" s="59"/>
      <c r="D114" s="5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9"/>
      <c r="P114" s="59"/>
      <c r="Q114" s="59"/>
      <c r="R114" s="59"/>
      <c r="S114" s="59"/>
      <c r="T114" s="59"/>
    </row>
    <row r="115">
      <c r="A115" s="59"/>
      <c r="B115" s="59"/>
      <c r="C115" s="59"/>
      <c r="D115" s="59"/>
      <c r="E115" s="758" t="s">
        <v>1147</v>
      </c>
      <c r="F115" s="759"/>
      <c r="G115" s="759"/>
      <c r="H115" s="759"/>
      <c r="I115" s="759"/>
      <c r="J115" s="759"/>
      <c r="K115" s="759"/>
      <c r="L115" s="759"/>
      <c r="M115" s="759"/>
      <c r="N115" s="760"/>
      <c r="O115" s="59"/>
      <c r="P115" s="59"/>
      <c r="Q115" s="59"/>
      <c r="R115" s="59"/>
      <c r="S115" s="59"/>
      <c r="T115" s="59"/>
    </row>
    <row r="116">
      <c r="A116" s="59"/>
      <c r="B116" s="59"/>
      <c r="C116" s="59"/>
      <c r="D116" s="59"/>
      <c r="E116" s="761"/>
      <c r="F116" s="69"/>
      <c r="G116" s="762"/>
      <c r="H116" s="69"/>
      <c r="I116" s="730" t="s">
        <v>1148</v>
      </c>
      <c r="J116" s="69"/>
      <c r="K116" s="730" t="s">
        <v>1149</v>
      </c>
      <c r="L116" s="69"/>
      <c r="M116" s="730" t="s">
        <v>751</v>
      </c>
      <c r="N116" s="691"/>
      <c r="O116" s="59"/>
      <c r="P116" s="59"/>
      <c r="Q116" s="59"/>
      <c r="R116" s="59"/>
      <c r="S116" s="59"/>
      <c r="T116" s="59"/>
    </row>
    <row r="117">
      <c r="A117" s="59"/>
      <c r="B117" s="59"/>
      <c r="C117" s="59"/>
      <c r="D117" s="59"/>
      <c r="E117" s="763" t="s">
        <v>1092</v>
      </c>
      <c r="F117" s="697" t="s">
        <v>1093</v>
      </c>
      <c r="G117" s="698" t="s">
        <v>1092</v>
      </c>
      <c r="H117" s="697" t="s">
        <v>1093</v>
      </c>
      <c r="I117" s="698" t="s">
        <v>1092</v>
      </c>
      <c r="J117" s="697" t="s">
        <v>1093</v>
      </c>
      <c r="K117" s="698" t="s">
        <v>1092</v>
      </c>
      <c r="L117" s="697" t="s">
        <v>1093</v>
      </c>
      <c r="M117" s="698" t="s">
        <v>1092</v>
      </c>
      <c r="N117" s="699" t="s">
        <v>1093</v>
      </c>
      <c r="O117" s="59"/>
      <c r="P117" s="59"/>
      <c r="Q117" s="59"/>
      <c r="R117" s="59"/>
      <c r="S117" s="59"/>
      <c r="T117" s="59"/>
    </row>
    <row r="118">
      <c r="A118" s="59"/>
      <c r="B118" s="59"/>
      <c r="C118" s="59"/>
      <c r="D118" s="59"/>
      <c r="E118" s="764"/>
      <c r="F118" s="541"/>
      <c r="G118" s="59"/>
      <c r="H118" s="541"/>
      <c r="I118" s="698">
        <v>12.0</v>
      </c>
      <c r="J118" s="697">
        <v>19.0</v>
      </c>
      <c r="K118" s="698">
        <v>13.0</v>
      </c>
      <c r="L118" s="697">
        <v>20.0</v>
      </c>
      <c r="M118" s="698">
        <v>2.0</v>
      </c>
      <c r="N118" s="699">
        <v>19.0</v>
      </c>
      <c r="O118" s="59"/>
      <c r="P118" s="59"/>
      <c r="Q118" s="59"/>
      <c r="R118" s="59"/>
      <c r="S118" s="59"/>
      <c r="T118" s="59"/>
    </row>
    <row r="119">
      <c r="A119" s="59"/>
      <c r="B119" s="59"/>
      <c r="C119" s="59"/>
      <c r="D119" s="59"/>
      <c r="E119" s="764"/>
      <c r="F119" s="541"/>
      <c r="G119" s="59"/>
      <c r="H119" s="541"/>
      <c r="I119" s="59"/>
      <c r="J119" s="541"/>
      <c r="K119" s="59"/>
      <c r="L119" s="541"/>
      <c r="M119" s="698">
        <v>2.0</v>
      </c>
      <c r="N119" s="699">
        <v>20.0</v>
      </c>
      <c r="O119" s="59"/>
      <c r="P119" s="59"/>
      <c r="Q119" s="59"/>
      <c r="R119" s="59"/>
      <c r="S119" s="59"/>
      <c r="T119" s="59"/>
    </row>
    <row r="120">
      <c r="A120" s="59"/>
      <c r="B120" s="59"/>
      <c r="C120" s="59"/>
      <c r="D120" s="59"/>
      <c r="E120" s="764"/>
      <c r="F120" s="541"/>
      <c r="G120" s="59"/>
      <c r="H120" s="541"/>
      <c r="I120" s="59"/>
      <c r="J120" s="541"/>
      <c r="K120" s="59"/>
      <c r="L120" s="541"/>
      <c r="M120" s="59"/>
      <c r="N120" s="765"/>
      <c r="O120" s="59"/>
      <c r="P120" s="59"/>
      <c r="Q120" s="59"/>
      <c r="R120" s="59"/>
      <c r="S120" s="59"/>
      <c r="T120" s="59"/>
    </row>
    <row r="121">
      <c r="A121" s="59"/>
      <c r="B121" s="59"/>
      <c r="C121" s="59"/>
      <c r="D121" s="59"/>
      <c r="E121" s="764"/>
      <c r="F121" s="541"/>
      <c r="G121" s="59"/>
      <c r="H121" s="541"/>
      <c r="I121" s="59"/>
      <c r="J121" s="541"/>
      <c r="K121" s="59"/>
      <c r="L121" s="541"/>
      <c r="M121" s="59"/>
      <c r="N121" s="765"/>
      <c r="O121" s="59"/>
      <c r="P121" s="59"/>
      <c r="Q121" s="59"/>
      <c r="R121" s="59"/>
      <c r="S121" s="59"/>
      <c r="T121" s="59"/>
    </row>
    <row r="122">
      <c r="A122" s="59"/>
      <c r="B122" s="59"/>
      <c r="C122" s="59"/>
      <c r="D122" s="59"/>
      <c r="E122" s="766"/>
      <c r="F122" s="485"/>
      <c r="G122" s="757"/>
      <c r="H122" s="485"/>
      <c r="I122" s="757"/>
      <c r="J122" s="485"/>
      <c r="K122" s="757"/>
      <c r="L122" s="485"/>
      <c r="M122" s="757"/>
      <c r="N122" s="767"/>
      <c r="O122" s="59"/>
      <c r="P122" s="59"/>
      <c r="Q122" s="59"/>
      <c r="R122" s="59"/>
      <c r="S122" s="59"/>
      <c r="T122" s="59"/>
    </row>
    <row r="123">
      <c r="A123" s="59"/>
      <c r="B123" s="59"/>
      <c r="C123" s="59"/>
      <c r="D123" s="59"/>
      <c r="E123" s="761"/>
      <c r="F123" s="69"/>
      <c r="G123" s="762"/>
      <c r="H123" s="69"/>
      <c r="I123" s="730" t="s">
        <v>1150</v>
      </c>
      <c r="J123" s="69"/>
      <c r="K123" s="730" t="s">
        <v>1151</v>
      </c>
      <c r="L123" s="69"/>
      <c r="M123" s="730" t="s">
        <v>414</v>
      </c>
      <c r="N123" s="691"/>
      <c r="O123" s="59"/>
      <c r="P123" s="59"/>
      <c r="Q123" s="59"/>
      <c r="R123" s="59"/>
      <c r="S123" s="59"/>
      <c r="T123" s="59"/>
    </row>
    <row r="124">
      <c r="A124" s="59"/>
      <c r="B124" s="59"/>
      <c r="C124" s="59"/>
      <c r="D124" s="59"/>
      <c r="E124" s="763" t="s">
        <v>1092</v>
      </c>
      <c r="F124" s="697" t="s">
        <v>1093</v>
      </c>
      <c r="G124" s="698" t="s">
        <v>1092</v>
      </c>
      <c r="H124" s="697" t="s">
        <v>1093</v>
      </c>
      <c r="I124" s="698" t="s">
        <v>1092</v>
      </c>
      <c r="J124" s="697" t="s">
        <v>1093</v>
      </c>
      <c r="K124" s="698" t="s">
        <v>1092</v>
      </c>
      <c r="L124" s="697" t="s">
        <v>1093</v>
      </c>
      <c r="M124" s="698" t="s">
        <v>1092</v>
      </c>
      <c r="N124" s="699" t="s">
        <v>1093</v>
      </c>
      <c r="O124" s="59"/>
      <c r="P124" s="59"/>
      <c r="Q124" s="59"/>
      <c r="R124" s="59"/>
      <c r="S124" s="59"/>
      <c r="T124" s="59"/>
    </row>
    <row r="125">
      <c r="A125" s="59"/>
      <c r="B125" s="59"/>
      <c r="C125" s="59"/>
      <c r="D125" s="59"/>
      <c r="E125" s="764"/>
      <c r="F125" s="541"/>
      <c r="G125" s="59"/>
      <c r="H125" s="541"/>
      <c r="I125" s="698">
        <v>14.0</v>
      </c>
      <c r="J125" s="697">
        <v>19.0</v>
      </c>
      <c r="K125" s="698">
        <v>15.0</v>
      </c>
      <c r="L125" s="697">
        <v>20.0</v>
      </c>
      <c r="M125" s="698">
        <v>1.0</v>
      </c>
      <c r="N125" s="699">
        <v>19.0</v>
      </c>
      <c r="O125" s="59"/>
      <c r="P125" s="59"/>
      <c r="Q125" s="59"/>
      <c r="R125" s="59"/>
      <c r="S125" s="59"/>
      <c r="T125" s="59"/>
    </row>
    <row r="126" ht="19.5" customHeight="1">
      <c r="A126" s="59"/>
      <c r="B126" s="59"/>
      <c r="C126" s="59"/>
      <c r="D126" s="59"/>
      <c r="E126" s="764"/>
      <c r="F126" s="541"/>
      <c r="G126" s="59"/>
      <c r="H126" s="541"/>
      <c r="I126" s="59"/>
      <c r="J126" s="541"/>
      <c r="K126" s="59"/>
      <c r="L126" s="541"/>
      <c r="M126" s="698">
        <v>1.0</v>
      </c>
      <c r="N126" s="699">
        <v>20.0</v>
      </c>
      <c r="O126" s="59"/>
      <c r="P126" s="59"/>
      <c r="Q126" s="59"/>
      <c r="R126" s="59"/>
      <c r="S126" s="59"/>
      <c r="T126" s="59"/>
    </row>
    <row r="127">
      <c r="A127" s="59"/>
      <c r="B127" s="59"/>
      <c r="C127" s="59"/>
      <c r="D127" s="59"/>
      <c r="E127" s="764"/>
      <c r="F127" s="541"/>
      <c r="G127" s="59"/>
      <c r="H127" s="541"/>
      <c r="I127" s="59"/>
      <c r="J127" s="541"/>
      <c r="K127" s="59"/>
      <c r="L127" s="541"/>
      <c r="M127" s="59"/>
      <c r="N127" s="765"/>
      <c r="O127" s="59"/>
      <c r="P127" s="59"/>
      <c r="Q127" s="59"/>
      <c r="R127" s="59"/>
      <c r="S127" s="59"/>
      <c r="T127" s="59"/>
    </row>
    <row r="128">
      <c r="A128" s="59"/>
      <c r="B128" s="59"/>
      <c r="C128" s="59"/>
      <c r="D128" s="59"/>
      <c r="E128" s="764"/>
      <c r="F128" s="541"/>
      <c r="G128" s="59"/>
      <c r="H128" s="541"/>
      <c r="I128" s="59"/>
      <c r="J128" s="541"/>
      <c r="K128" s="59"/>
      <c r="L128" s="541"/>
      <c r="M128" s="59"/>
      <c r="N128" s="765"/>
      <c r="O128" s="59"/>
      <c r="P128" s="59"/>
      <c r="Q128" s="59"/>
      <c r="R128" s="59"/>
      <c r="S128" s="59"/>
      <c r="T128" s="59"/>
    </row>
    <row r="129">
      <c r="A129" s="59"/>
      <c r="B129" s="59"/>
      <c r="C129" s="59"/>
      <c r="D129" s="59"/>
      <c r="E129" s="768"/>
      <c r="F129" s="553"/>
      <c r="G129" s="569"/>
      <c r="H129" s="553"/>
      <c r="I129" s="569"/>
      <c r="J129" s="553"/>
      <c r="K129" s="569"/>
      <c r="L129" s="553"/>
      <c r="M129" s="569"/>
      <c r="N129" s="745"/>
      <c r="O129" s="59"/>
      <c r="P129" s="59"/>
      <c r="Q129" s="59"/>
      <c r="R129" s="59"/>
      <c r="S129" s="59"/>
      <c r="T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</row>
  </sheetData>
  <mergeCells count="152">
    <mergeCell ref="Q81:R81"/>
    <mergeCell ref="S81:T81"/>
    <mergeCell ref="Q71:R71"/>
    <mergeCell ref="S71:T71"/>
    <mergeCell ref="E79:T80"/>
    <mergeCell ref="E81:F81"/>
    <mergeCell ref="G81:H81"/>
    <mergeCell ref="I81:J81"/>
    <mergeCell ref="K81:L81"/>
    <mergeCell ref="Q108:R108"/>
    <mergeCell ref="S108:T108"/>
    <mergeCell ref="E106:F107"/>
    <mergeCell ref="E108:F108"/>
    <mergeCell ref="G108:H108"/>
    <mergeCell ref="I108:J108"/>
    <mergeCell ref="K108:L108"/>
    <mergeCell ref="M108:N108"/>
    <mergeCell ref="O108:P108"/>
    <mergeCell ref="E10:F12"/>
    <mergeCell ref="E13:F13"/>
    <mergeCell ref="G13:H13"/>
    <mergeCell ref="I13:J13"/>
    <mergeCell ref="K13:L13"/>
    <mergeCell ref="M13:N13"/>
    <mergeCell ref="O13:P13"/>
    <mergeCell ref="E14:F16"/>
    <mergeCell ref="E17:F17"/>
    <mergeCell ref="G17:H17"/>
    <mergeCell ref="I17:J17"/>
    <mergeCell ref="K17:L17"/>
    <mergeCell ref="M17:N17"/>
    <mergeCell ref="O17:P17"/>
    <mergeCell ref="Q49:R49"/>
    <mergeCell ref="S49:T49"/>
    <mergeCell ref="E28:F48"/>
    <mergeCell ref="E49:F49"/>
    <mergeCell ref="G49:H49"/>
    <mergeCell ref="I49:J49"/>
    <mergeCell ref="K49:L49"/>
    <mergeCell ref="M49:N49"/>
    <mergeCell ref="O49:P49"/>
    <mergeCell ref="E50:F70"/>
    <mergeCell ref="E71:F71"/>
    <mergeCell ref="G71:H71"/>
    <mergeCell ref="I71:J71"/>
    <mergeCell ref="K71:L71"/>
    <mergeCell ref="M71:N71"/>
    <mergeCell ref="O71:P71"/>
    <mergeCell ref="E72:F74"/>
    <mergeCell ref="M81:N81"/>
    <mergeCell ref="O81:P81"/>
    <mergeCell ref="E123:F123"/>
    <mergeCell ref="G123:H123"/>
    <mergeCell ref="I123:J123"/>
    <mergeCell ref="K123:L123"/>
    <mergeCell ref="M123:N123"/>
    <mergeCell ref="E109:F110"/>
    <mergeCell ref="E115:N115"/>
    <mergeCell ref="E116:F116"/>
    <mergeCell ref="G116:H116"/>
    <mergeCell ref="I116:J116"/>
    <mergeCell ref="K116:L116"/>
    <mergeCell ref="M116:N116"/>
    <mergeCell ref="Q5:R5"/>
    <mergeCell ref="S5:T5"/>
    <mergeCell ref="A1:G1"/>
    <mergeCell ref="A2:B2"/>
    <mergeCell ref="E3:T4"/>
    <mergeCell ref="E5:F5"/>
    <mergeCell ref="G5:H5"/>
    <mergeCell ref="I5:J5"/>
    <mergeCell ref="K5:L5"/>
    <mergeCell ref="M9:N9"/>
    <mergeCell ref="O9:P9"/>
    <mergeCell ref="Q9:R9"/>
    <mergeCell ref="S9:T9"/>
    <mergeCell ref="M5:N5"/>
    <mergeCell ref="O5:P5"/>
    <mergeCell ref="E6:F8"/>
    <mergeCell ref="E9:F9"/>
    <mergeCell ref="G9:H9"/>
    <mergeCell ref="I9:J9"/>
    <mergeCell ref="K9:L9"/>
    <mergeCell ref="Q13:R13"/>
    <mergeCell ref="S13:T13"/>
    <mergeCell ref="Q17:R17"/>
    <mergeCell ref="S17:T17"/>
    <mergeCell ref="O27:P27"/>
    <mergeCell ref="Q27:R27"/>
    <mergeCell ref="E18:F20"/>
    <mergeCell ref="E25:T26"/>
    <mergeCell ref="E27:F27"/>
    <mergeCell ref="G27:H27"/>
    <mergeCell ref="I27:J27"/>
    <mergeCell ref="K27:L27"/>
    <mergeCell ref="M27:N27"/>
    <mergeCell ref="S27:T27"/>
    <mergeCell ref="Q84:R84"/>
    <mergeCell ref="S84:T84"/>
    <mergeCell ref="E82:F83"/>
    <mergeCell ref="E84:F84"/>
    <mergeCell ref="G84:H84"/>
    <mergeCell ref="I84:J84"/>
    <mergeCell ref="K84:L84"/>
    <mergeCell ref="M84:N84"/>
    <mergeCell ref="O84:P84"/>
    <mergeCell ref="Q87:R87"/>
    <mergeCell ref="S87:T87"/>
    <mergeCell ref="E85:F86"/>
    <mergeCell ref="E87:F87"/>
    <mergeCell ref="G87:H87"/>
    <mergeCell ref="I87:J87"/>
    <mergeCell ref="K87:L87"/>
    <mergeCell ref="M87:N87"/>
    <mergeCell ref="O87:P87"/>
    <mergeCell ref="Q90:R90"/>
    <mergeCell ref="S90:T90"/>
    <mergeCell ref="E88:F89"/>
    <mergeCell ref="E90:F90"/>
    <mergeCell ref="G90:H90"/>
    <mergeCell ref="I90:J90"/>
    <mergeCell ref="K90:L90"/>
    <mergeCell ref="M90:N90"/>
    <mergeCell ref="O90:P90"/>
    <mergeCell ref="O99:P99"/>
    <mergeCell ref="Q99:R99"/>
    <mergeCell ref="E91:F92"/>
    <mergeCell ref="E97:T98"/>
    <mergeCell ref="G99:H99"/>
    <mergeCell ref="I99:J99"/>
    <mergeCell ref="K99:L99"/>
    <mergeCell ref="M99:N99"/>
    <mergeCell ref="S99:T99"/>
    <mergeCell ref="O102:P102"/>
    <mergeCell ref="Q102:R102"/>
    <mergeCell ref="S102:T102"/>
    <mergeCell ref="E99:F99"/>
    <mergeCell ref="E100:F101"/>
    <mergeCell ref="E102:F102"/>
    <mergeCell ref="G102:H102"/>
    <mergeCell ref="I102:J102"/>
    <mergeCell ref="K102:L102"/>
    <mergeCell ref="M102:N102"/>
    <mergeCell ref="Q105:R105"/>
    <mergeCell ref="S105:T105"/>
    <mergeCell ref="E103:F104"/>
    <mergeCell ref="E105:F105"/>
    <mergeCell ref="G105:H105"/>
    <mergeCell ref="I105:J105"/>
    <mergeCell ref="K105:L105"/>
    <mergeCell ref="M105:N105"/>
    <mergeCell ref="O105:P105"/>
  </mergeCells>
  <conditionalFormatting sqref="C4:D8 B9:B13 B16:B20">
    <cfRule type="containsText" dxfId="5" priority="1" operator="containsText" text="TRUE">
      <formula>NOT(ISERROR(SEARCH(("TRUE"),(C4))))</formula>
    </cfRule>
  </conditionalFormatting>
  <hyperlinks>
    <hyperlink r:id="rId1" ref="A2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13"/>
    <col customWidth="1" min="6" max="6" width="57.25"/>
    <col customWidth="1" min="8" max="8" width="22.38"/>
    <col customWidth="1" min="9" max="9" width="21.88"/>
  </cols>
  <sheetData>
    <row r="1">
      <c r="A1" s="769" t="s">
        <v>1152</v>
      </c>
    </row>
    <row r="2">
      <c r="A2" s="770"/>
      <c r="B2" s="771"/>
      <c r="C2" s="771"/>
    </row>
    <row r="3">
      <c r="A3" s="772" t="s">
        <v>1153</v>
      </c>
      <c r="B3" s="773" t="s">
        <v>1154</v>
      </c>
      <c r="C3" s="607"/>
    </row>
    <row r="4">
      <c r="A4" s="744"/>
      <c r="B4" s="759"/>
      <c r="C4" s="760"/>
    </row>
    <row r="5" ht="19.5" customHeight="1">
      <c r="A5" s="774" t="s">
        <v>1155</v>
      </c>
      <c r="B5" s="775">
        <f>COUNTIF(B23:B29,TRUE)/ROWS(B23:B29)</f>
        <v>0.8571428571</v>
      </c>
      <c r="C5" s="776"/>
    </row>
    <row r="6" ht="18.0" customHeight="1">
      <c r="A6" s="777" t="s">
        <v>1156</v>
      </c>
      <c r="B6" s="778">
        <f>COUNTIF(B33:B37, TRUE)/ROWS(B33:B37)</f>
        <v>1</v>
      </c>
      <c r="C6" s="737"/>
    </row>
    <row r="7" ht="15.75" customHeight="1">
      <c r="A7" s="777" t="s">
        <v>1157</v>
      </c>
      <c r="B7" s="778">
        <f>COUNTIF(B41:C54,TRUE)/((ROWS(B41:C54)*COLUMNS(B41:C54)))</f>
        <v>0</v>
      </c>
      <c r="C7" s="737"/>
    </row>
    <row r="8" ht="15.75" customHeight="1">
      <c r="A8" s="777" t="s">
        <v>1158</v>
      </c>
      <c r="B8" s="778">
        <f>countif(B58:C67,TRUE)/((ROWS(B58:C67)*COLUMNS(B58:C67)))</f>
        <v>0</v>
      </c>
      <c r="C8" s="737"/>
    </row>
    <row r="9" ht="15.75" customHeight="1">
      <c r="A9" s="779" t="s">
        <v>1159</v>
      </c>
      <c r="B9" s="778">
        <f>countif(B72:C77,TRUE)/((ROWS(B72:C77)*COLUMNS(B72:C77)))</f>
        <v>0</v>
      </c>
      <c r="C9" s="737"/>
    </row>
    <row r="10" ht="15.75" customHeight="1">
      <c r="A10" s="779" t="s">
        <v>1160</v>
      </c>
      <c r="B10" s="778">
        <f>COUNTIF(B81:B92,TRUE)/ROWS(B81:B92)</f>
        <v>0</v>
      </c>
      <c r="C10" s="737"/>
    </row>
    <row r="11" ht="15.75" customHeight="1">
      <c r="A11" s="777" t="s">
        <v>1161</v>
      </c>
      <c r="B11" s="778">
        <f>countif(B96:B101,TRUE)/ROWS(B96:B101) </f>
        <v>0</v>
      </c>
      <c r="C11" s="737"/>
    </row>
    <row r="12" ht="15.75" customHeight="1">
      <c r="A12" s="777" t="s">
        <v>1162</v>
      </c>
      <c r="B12" s="778">
        <f>COUNTIF(B105:C107,TRUE)/((ROWS(B105:C107)*COLUMNS(B105:C107)))</f>
        <v>0</v>
      </c>
      <c r="C12" s="737"/>
    </row>
    <row r="13" ht="15.75" customHeight="1">
      <c r="A13" s="779" t="s">
        <v>1163</v>
      </c>
      <c r="B13" s="778">
        <f>countif(B112:C116,TRUE)/((ROWS(B112:C116)*COLUMNS(B112:C116)))</f>
        <v>0</v>
      </c>
      <c r="C13" s="737"/>
    </row>
    <row r="14" ht="15.75" customHeight="1">
      <c r="A14" s="779" t="s">
        <v>1164</v>
      </c>
      <c r="B14" s="778">
        <f>countif(B118:B125,TRUE)/ROWS(B118:B125) </f>
        <v>0</v>
      </c>
      <c r="C14" s="737"/>
    </row>
    <row r="15">
      <c r="A15" s="777" t="s">
        <v>1165</v>
      </c>
      <c r="B15" s="778">
        <f>countif(B129:B136,TRUE)/ROWS(B129:B136) </f>
        <v>0</v>
      </c>
      <c r="C15" s="737"/>
    </row>
    <row r="16">
      <c r="A16" s="777" t="s">
        <v>192</v>
      </c>
      <c r="B16" s="778">
        <f>COUNTIF(B140:C145,TRUE)/((ROWS(B140:C145)*COLUMNS(B140:C145)))</f>
        <v>0</v>
      </c>
      <c r="C16" s="737"/>
    </row>
    <row r="17">
      <c r="A17" s="780" t="s">
        <v>1166</v>
      </c>
      <c r="B17" s="778">
        <f>COUNTIF(B149:C154,TRUE)/((ROWS(B149:C154)*COLUMNS(B149:C154)))</f>
        <v>0</v>
      </c>
      <c r="C17" s="737"/>
    </row>
    <row r="18">
      <c r="A18" s="781" t="s">
        <v>1167</v>
      </c>
      <c r="B18" s="782">
        <f>COUNTIF(B158:B166,TRUE)/ROWS(B158:B166)</f>
        <v>0</v>
      </c>
      <c r="C18" s="783"/>
    </row>
    <row r="19">
      <c r="A19" s="784"/>
      <c r="B19" s="784"/>
      <c r="C19" s="784"/>
    </row>
    <row r="20">
      <c r="A20" s="784"/>
      <c r="B20" s="784"/>
      <c r="C20" s="784"/>
    </row>
    <row r="21">
      <c r="A21" s="785" t="s">
        <v>1155</v>
      </c>
      <c r="B21" s="785" t="s">
        <v>198</v>
      </c>
    </row>
    <row r="23">
      <c r="A23" s="786" t="s">
        <v>1168</v>
      </c>
      <c r="B23" s="242" t="b">
        <v>1</v>
      </c>
    </row>
    <row r="24">
      <c r="A24" s="786" t="s">
        <v>1169</v>
      </c>
      <c r="B24" s="242" t="b">
        <v>1</v>
      </c>
    </row>
    <row r="25">
      <c r="A25" s="786" t="s">
        <v>1170</v>
      </c>
      <c r="B25" s="242" t="b">
        <v>1</v>
      </c>
    </row>
    <row r="26">
      <c r="A26" s="786" t="s">
        <v>1171</v>
      </c>
      <c r="B26" s="242" t="b">
        <v>1</v>
      </c>
    </row>
    <row r="27">
      <c r="A27" s="786" t="s">
        <v>1172</v>
      </c>
      <c r="B27" s="242" t="b">
        <v>0</v>
      </c>
    </row>
    <row r="28">
      <c r="A28" s="787" t="s">
        <v>1173</v>
      </c>
      <c r="B28" s="242" t="b">
        <v>1</v>
      </c>
    </row>
    <row r="29">
      <c r="A29" s="786" t="s">
        <v>1174</v>
      </c>
      <c r="B29" s="242" t="b">
        <v>1</v>
      </c>
    </row>
    <row r="31">
      <c r="A31" s="785" t="s">
        <v>1156</v>
      </c>
      <c r="B31" s="785" t="s">
        <v>198</v>
      </c>
    </row>
    <row r="33">
      <c r="A33" s="786" t="s">
        <v>1175</v>
      </c>
      <c r="B33" s="242" t="b">
        <v>1</v>
      </c>
    </row>
    <row r="34">
      <c r="A34" s="786" t="s">
        <v>1176</v>
      </c>
      <c r="B34" s="242" t="b">
        <v>1</v>
      </c>
    </row>
    <row r="35">
      <c r="A35" s="787" t="s">
        <v>1177</v>
      </c>
      <c r="B35" s="242" t="b">
        <v>1</v>
      </c>
    </row>
    <row r="36">
      <c r="A36" s="786" t="s">
        <v>1178</v>
      </c>
      <c r="B36" s="242" t="b">
        <v>1</v>
      </c>
    </row>
    <row r="37">
      <c r="A37" s="787" t="s">
        <v>1179</v>
      </c>
      <c r="B37" s="242" t="b">
        <v>1</v>
      </c>
    </row>
    <row r="39">
      <c r="A39" s="785" t="s">
        <v>1157</v>
      </c>
      <c r="B39" s="785" t="s">
        <v>647</v>
      </c>
      <c r="C39" s="785" t="s">
        <v>647</v>
      </c>
    </row>
    <row r="41">
      <c r="A41" s="786" t="s">
        <v>1180</v>
      </c>
      <c r="B41" s="242" t="b">
        <v>0</v>
      </c>
      <c r="C41" s="242" t="b">
        <v>0</v>
      </c>
    </row>
    <row r="42">
      <c r="A42" s="786" t="s">
        <v>1181</v>
      </c>
      <c r="B42" s="242" t="b">
        <v>0</v>
      </c>
      <c r="C42" s="242" t="b">
        <v>0</v>
      </c>
    </row>
    <row r="43">
      <c r="A43" s="786" t="s">
        <v>1182</v>
      </c>
      <c r="B43" s="242" t="b">
        <v>0</v>
      </c>
      <c r="C43" s="242" t="b">
        <v>0</v>
      </c>
    </row>
    <row r="44">
      <c r="A44" s="786" t="s">
        <v>1183</v>
      </c>
      <c r="B44" s="242" t="b">
        <v>0</v>
      </c>
      <c r="C44" s="242" t="b">
        <v>0</v>
      </c>
      <c r="I44" s="79"/>
    </row>
    <row r="45">
      <c r="A45" s="786" t="s">
        <v>1184</v>
      </c>
      <c r="B45" s="242" t="b">
        <v>0</v>
      </c>
      <c r="C45" s="242" t="b">
        <v>0</v>
      </c>
      <c r="I45" s="79"/>
    </row>
    <row r="46">
      <c r="A46" s="786" t="s">
        <v>1185</v>
      </c>
      <c r="B46" s="242" t="b">
        <v>0</v>
      </c>
      <c r="C46" s="242" t="b">
        <v>0</v>
      </c>
    </row>
    <row r="47">
      <c r="A47" s="786" t="s">
        <v>1186</v>
      </c>
      <c r="B47" s="242" t="b">
        <v>0</v>
      </c>
      <c r="C47" s="242" t="b">
        <v>0</v>
      </c>
    </row>
    <row r="48">
      <c r="A48" s="786" t="s">
        <v>1187</v>
      </c>
      <c r="B48" s="242" t="b">
        <v>0</v>
      </c>
      <c r="C48" s="242" t="b">
        <v>0</v>
      </c>
    </row>
    <row r="49">
      <c r="A49" s="786" t="s">
        <v>1188</v>
      </c>
      <c r="B49" s="242" t="b">
        <v>0</v>
      </c>
      <c r="C49" s="242" t="b">
        <v>0</v>
      </c>
    </row>
    <row r="50">
      <c r="A50" s="786" t="s">
        <v>1189</v>
      </c>
      <c r="B50" s="242" t="b">
        <v>0</v>
      </c>
      <c r="C50" s="242" t="b">
        <v>0</v>
      </c>
    </row>
    <row r="51">
      <c r="A51" s="786" t="s">
        <v>1190</v>
      </c>
      <c r="B51" s="242" t="b">
        <v>0</v>
      </c>
      <c r="C51" s="242" t="b">
        <v>0</v>
      </c>
    </row>
    <row r="52">
      <c r="A52" s="786" t="s">
        <v>1191</v>
      </c>
      <c r="B52" s="242" t="b">
        <v>0</v>
      </c>
      <c r="C52" s="242" t="b">
        <v>0</v>
      </c>
    </row>
    <row r="53">
      <c r="A53" s="786" t="s">
        <v>1192</v>
      </c>
      <c r="B53" s="242" t="b">
        <v>0</v>
      </c>
      <c r="C53" s="242" t="b">
        <v>0</v>
      </c>
    </row>
    <row r="54">
      <c r="A54" s="786" t="s">
        <v>1193</v>
      </c>
      <c r="B54" s="242" t="b">
        <v>0</v>
      </c>
      <c r="C54" s="242" t="b">
        <v>0</v>
      </c>
    </row>
    <row r="56">
      <c r="A56" s="785" t="s">
        <v>786</v>
      </c>
      <c r="B56" s="785" t="s">
        <v>647</v>
      </c>
      <c r="C56" s="785" t="s">
        <v>647</v>
      </c>
    </row>
    <row r="58">
      <c r="A58" s="786" t="s">
        <v>1194</v>
      </c>
      <c r="B58" s="242" t="b">
        <v>0</v>
      </c>
      <c r="C58" s="242" t="b">
        <v>0</v>
      </c>
    </row>
    <row r="59">
      <c r="A59" s="786" t="s">
        <v>1195</v>
      </c>
      <c r="B59" s="242" t="b">
        <v>0</v>
      </c>
      <c r="C59" s="242" t="b">
        <v>0</v>
      </c>
    </row>
    <row r="60">
      <c r="A60" s="786" t="s">
        <v>1196</v>
      </c>
      <c r="B60" s="242" t="b">
        <v>0</v>
      </c>
      <c r="C60" s="242" t="b">
        <v>0</v>
      </c>
    </row>
    <row r="61">
      <c r="A61" s="786" t="s">
        <v>1197</v>
      </c>
      <c r="B61" s="242" t="b">
        <v>0</v>
      </c>
      <c r="C61" s="242" t="b">
        <v>0</v>
      </c>
    </row>
    <row r="62">
      <c r="A62" s="786" t="s">
        <v>1198</v>
      </c>
      <c r="B62" s="242" t="b">
        <v>0</v>
      </c>
      <c r="C62" s="242" t="b">
        <v>0</v>
      </c>
    </row>
    <row r="63">
      <c r="A63" s="786" t="s">
        <v>1199</v>
      </c>
      <c r="B63" s="242" t="b">
        <v>0</v>
      </c>
      <c r="C63" s="242" t="b">
        <v>0</v>
      </c>
    </row>
    <row r="64">
      <c r="A64" s="786" t="s">
        <v>1200</v>
      </c>
      <c r="B64" s="242" t="b">
        <v>0</v>
      </c>
      <c r="C64" s="242" t="b">
        <v>0</v>
      </c>
    </row>
    <row r="65">
      <c r="A65" s="786" t="s">
        <v>1201</v>
      </c>
      <c r="B65" s="242" t="b">
        <v>0</v>
      </c>
      <c r="C65" s="242" t="b">
        <v>0</v>
      </c>
    </row>
    <row r="66">
      <c r="A66" s="786" t="s">
        <v>1202</v>
      </c>
      <c r="B66" s="242" t="b">
        <v>0</v>
      </c>
      <c r="C66" s="242" t="b">
        <v>0</v>
      </c>
    </row>
    <row r="67">
      <c r="A67" s="786" t="s">
        <v>1203</v>
      </c>
      <c r="B67" s="242" t="b">
        <v>0</v>
      </c>
      <c r="C67" s="242" t="b">
        <v>0</v>
      </c>
    </row>
    <row r="69">
      <c r="A69" s="785" t="s">
        <v>1204</v>
      </c>
      <c r="B69" s="785" t="s">
        <v>647</v>
      </c>
      <c r="C69" s="785" t="s">
        <v>647</v>
      </c>
    </row>
    <row r="71">
      <c r="A71" s="788" t="s">
        <v>1205</v>
      </c>
    </row>
    <row r="72">
      <c r="A72" s="786" t="s">
        <v>1206</v>
      </c>
      <c r="B72" s="242" t="b">
        <v>0</v>
      </c>
      <c r="C72" s="242" t="b">
        <v>0</v>
      </c>
      <c r="E72" s="64"/>
    </row>
    <row r="73">
      <c r="A73" s="786" t="s">
        <v>1207</v>
      </c>
      <c r="B73" s="242" t="b">
        <v>0</v>
      </c>
      <c r="C73" s="242" t="b">
        <v>0</v>
      </c>
      <c r="D73" s="64"/>
      <c r="E73" s="64"/>
    </row>
    <row r="74">
      <c r="A74" s="786" t="s">
        <v>1208</v>
      </c>
      <c r="B74" s="242" t="b">
        <v>0</v>
      </c>
      <c r="C74" s="242" t="b">
        <v>0</v>
      </c>
      <c r="E74" s="64"/>
    </row>
    <row r="75">
      <c r="A75" s="786" t="s">
        <v>1209</v>
      </c>
      <c r="B75" s="242" t="b">
        <v>0</v>
      </c>
      <c r="C75" s="242" t="b">
        <v>0</v>
      </c>
      <c r="D75" s="64"/>
      <c r="E75" s="64"/>
    </row>
    <row r="76">
      <c r="A76" s="786" t="s">
        <v>1210</v>
      </c>
      <c r="B76" s="242" t="b">
        <v>0</v>
      </c>
      <c r="C76" s="242" t="b">
        <v>0</v>
      </c>
      <c r="D76" s="64"/>
      <c r="E76" s="64"/>
    </row>
    <row r="77">
      <c r="A77" s="789" t="s">
        <v>1211</v>
      </c>
      <c r="B77" s="242" t="b">
        <v>0</v>
      </c>
      <c r="C77" s="242" t="b">
        <v>0</v>
      </c>
      <c r="E77" s="64"/>
    </row>
    <row r="78">
      <c r="A78" s="785" t="s">
        <v>1204</v>
      </c>
      <c r="B78" s="790" t="s">
        <v>198</v>
      </c>
      <c r="C78" s="64"/>
    </row>
    <row r="79">
      <c r="C79" s="64"/>
    </row>
    <row r="80">
      <c r="A80" s="788" t="s">
        <v>1212</v>
      </c>
      <c r="C80" s="64"/>
      <c r="D80" s="64"/>
      <c r="E80" s="64"/>
    </row>
    <row r="81">
      <c r="A81" s="786" t="s">
        <v>1213</v>
      </c>
      <c r="B81" s="242" t="b">
        <v>0</v>
      </c>
      <c r="D81" s="64"/>
      <c r="E81" s="64"/>
    </row>
    <row r="82">
      <c r="A82" s="786" t="s">
        <v>1214</v>
      </c>
      <c r="B82" s="242" t="b">
        <v>0</v>
      </c>
    </row>
    <row r="83">
      <c r="A83" s="786" t="s">
        <v>1215</v>
      </c>
      <c r="B83" s="242" t="b">
        <v>0</v>
      </c>
      <c r="C83" s="64"/>
      <c r="D83" s="64"/>
      <c r="E83" s="64"/>
    </row>
    <row r="84">
      <c r="A84" s="786" t="s">
        <v>1216</v>
      </c>
      <c r="B84" s="242" t="b">
        <v>0</v>
      </c>
    </row>
    <row r="85">
      <c r="A85" s="786" t="s">
        <v>1217</v>
      </c>
      <c r="B85" s="242" t="b">
        <v>0</v>
      </c>
    </row>
    <row r="86">
      <c r="A86" s="789" t="s">
        <v>1218</v>
      </c>
      <c r="B86" s="242" t="b">
        <v>0</v>
      </c>
    </row>
    <row r="87">
      <c r="A87" s="786" t="s">
        <v>1219</v>
      </c>
      <c r="B87" s="242" t="b">
        <v>0</v>
      </c>
    </row>
    <row r="88">
      <c r="A88" s="786" t="s">
        <v>1220</v>
      </c>
      <c r="B88" s="242" t="b">
        <v>0</v>
      </c>
    </row>
    <row r="89">
      <c r="A89" s="786" t="s">
        <v>1221</v>
      </c>
      <c r="B89" s="242" t="b">
        <v>0</v>
      </c>
    </row>
    <row r="90">
      <c r="A90" s="786" t="s">
        <v>1222</v>
      </c>
      <c r="B90" s="242" t="b">
        <v>0</v>
      </c>
    </row>
    <row r="91">
      <c r="A91" s="786" t="s">
        <v>1223</v>
      </c>
      <c r="B91" s="242" t="b">
        <v>0</v>
      </c>
    </row>
    <row r="92">
      <c r="A92" s="789" t="s">
        <v>1224</v>
      </c>
      <c r="B92" s="242" t="b">
        <v>0</v>
      </c>
    </row>
    <row r="94">
      <c r="A94" s="785" t="s">
        <v>1161</v>
      </c>
      <c r="B94" s="785" t="s">
        <v>198</v>
      </c>
    </row>
    <row r="96">
      <c r="A96" s="786" t="s">
        <v>1225</v>
      </c>
      <c r="B96" s="242" t="b">
        <v>0</v>
      </c>
    </row>
    <row r="97">
      <c r="A97" s="786" t="s">
        <v>1226</v>
      </c>
      <c r="B97" s="242" t="b">
        <v>0</v>
      </c>
    </row>
    <row r="98">
      <c r="A98" s="786" t="s">
        <v>1227</v>
      </c>
      <c r="B98" s="242" t="b">
        <v>0</v>
      </c>
    </row>
    <row r="99">
      <c r="A99" s="786" t="s">
        <v>1228</v>
      </c>
      <c r="B99" s="242" t="b">
        <v>0</v>
      </c>
    </row>
    <row r="100">
      <c r="A100" s="786" t="s">
        <v>1229</v>
      </c>
      <c r="B100" s="242" t="b">
        <v>0</v>
      </c>
    </row>
    <row r="101">
      <c r="A101" s="786" t="s">
        <v>1230</v>
      </c>
      <c r="B101" s="242" t="b">
        <v>0</v>
      </c>
    </row>
    <row r="103">
      <c r="A103" s="785" t="s">
        <v>1162</v>
      </c>
      <c r="B103" s="785" t="s">
        <v>647</v>
      </c>
      <c r="C103" s="785" t="s">
        <v>647</v>
      </c>
    </row>
    <row r="105">
      <c r="A105" s="786" t="s">
        <v>1231</v>
      </c>
      <c r="B105" s="242" t="b">
        <v>0</v>
      </c>
      <c r="C105" s="242" t="b">
        <v>0</v>
      </c>
    </row>
    <row r="106">
      <c r="A106" s="786" t="s">
        <v>1232</v>
      </c>
      <c r="B106" s="242" t="b">
        <v>0</v>
      </c>
      <c r="C106" s="242" t="b">
        <v>0</v>
      </c>
    </row>
    <row r="107">
      <c r="A107" s="786" t="s">
        <v>1233</v>
      </c>
      <c r="B107" s="242" t="b">
        <v>0</v>
      </c>
      <c r="C107" s="242" t="b">
        <v>0</v>
      </c>
    </row>
    <row r="109">
      <c r="A109" s="785" t="s">
        <v>1234</v>
      </c>
      <c r="B109" s="785" t="s">
        <v>647</v>
      </c>
      <c r="C109" s="785" t="s">
        <v>647</v>
      </c>
    </row>
    <row r="111">
      <c r="A111" s="788" t="s">
        <v>1235</v>
      </c>
      <c r="D111" s="161"/>
    </row>
    <row r="112">
      <c r="A112" s="786" t="s">
        <v>1236</v>
      </c>
      <c r="B112" s="242" t="b">
        <v>0</v>
      </c>
      <c r="C112" s="242" t="b">
        <v>0</v>
      </c>
    </row>
    <row r="113">
      <c r="A113" s="786" t="s">
        <v>1237</v>
      </c>
      <c r="B113" s="242" t="b">
        <v>0</v>
      </c>
      <c r="C113" s="242" t="b">
        <v>0</v>
      </c>
    </row>
    <row r="114">
      <c r="A114" s="786" t="s">
        <v>1238</v>
      </c>
      <c r="B114" s="242" t="b">
        <v>0</v>
      </c>
      <c r="C114" s="242" t="b">
        <v>0</v>
      </c>
    </row>
    <row r="115">
      <c r="A115" s="786" t="s">
        <v>1239</v>
      </c>
      <c r="B115" s="242" t="b">
        <v>0</v>
      </c>
      <c r="C115" s="242" t="b">
        <v>0</v>
      </c>
    </row>
    <row r="116">
      <c r="A116" s="786" t="s">
        <v>1240</v>
      </c>
      <c r="B116" s="242" t="b">
        <v>0</v>
      </c>
      <c r="C116" s="242" t="b">
        <v>0</v>
      </c>
    </row>
    <row r="117">
      <c r="A117" s="791" t="s">
        <v>1241</v>
      </c>
      <c r="B117" s="791" t="s">
        <v>198</v>
      </c>
    </row>
    <row r="118">
      <c r="A118" s="792" t="s">
        <v>1242</v>
      </c>
      <c r="B118" s="242" t="b">
        <v>0</v>
      </c>
    </row>
    <row r="119">
      <c r="A119" s="786" t="s">
        <v>1243</v>
      </c>
      <c r="B119" s="242" t="b">
        <v>0</v>
      </c>
    </row>
    <row r="120">
      <c r="A120" s="786" t="s">
        <v>1244</v>
      </c>
      <c r="B120" s="242" t="b">
        <v>0</v>
      </c>
    </row>
    <row r="121">
      <c r="A121" s="786" t="s">
        <v>1245</v>
      </c>
      <c r="B121" s="242" t="b">
        <v>0</v>
      </c>
    </row>
    <row r="122">
      <c r="A122" s="786" t="s">
        <v>1246</v>
      </c>
      <c r="B122" s="242" t="b">
        <v>0</v>
      </c>
    </row>
    <row r="123">
      <c r="A123" s="786" t="s">
        <v>1247</v>
      </c>
      <c r="B123" s="242" t="b">
        <v>0</v>
      </c>
    </row>
    <row r="124">
      <c r="A124" s="786" t="s">
        <v>1248</v>
      </c>
      <c r="B124" s="242" t="b">
        <v>0</v>
      </c>
    </row>
    <row r="125">
      <c r="A125" s="786" t="s">
        <v>1249</v>
      </c>
      <c r="B125" s="242" t="b">
        <v>0</v>
      </c>
    </row>
    <row r="127">
      <c r="A127" s="785" t="s">
        <v>1250</v>
      </c>
      <c r="B127" s="785" t="s">
        <v>198</v>
      </c>
      <c r="C127" s="161"/>
    </row>
    <row r="129">
      <c r="A129" s="786" t="s">
        <v>1251</v>
      </c>
      <c r="B129" s="242" t="b">
        <v>0</v>
      </c>
    </row>
    <row r="130">
      <c r="A130" s="787" t="s">
        <v>1252</v>
      </c>
      <c r="B130" s="242" t="b">
        <v>0</v>
      </c>
    </row>
    <row r="131">
      <c r="A131" s="786" t="s">
        <v>1253</v>
      </c>
      <c r="B131" s="242" t="b">
        <v>0</v>
      </c>
    </row>
    <row r="132">
      <c r="A132" s="786" t="s">
        <v>1254</v>
      </c>
      <c r="B132" s="242" t="b">
        <v>0</v>
      </c>
    </row>
    <row r="133">
      <c r="A133" s="789" t="s">
        <v>1255</v>
      </c>
      <c r="B133" s="242" t="b">
        <v>0</v>
      </c>
    </row>
    <row r="134">
      <c r="A134" s="787" t="s">
        <v>1256</v>
      </c>
      <c r="B134" s="242" t="b">
        <v>0</v>
      </c>
    </row>
    <row r="135">
      <c r="A135" s="792" t="s">
        <v>1257</v>
      </c>
      <c r="B135" s="242" t="b">
        <v>0</v>
      </c>
    </row>
    <row r="136">
      <c r="A136" s="792" t="s">
        <v>1258</v>
      </c>
      <c r="B136" s="242" t="b">
        <v>0</v>
      </c>
    </row>
    <row r="137">
      <c r="A137" s="79"/>
    </row>
    <row r="138">
      <c r="A138" s="785" t="s">
        <v>192</v>
      </c>
      <c r="B138" s="785" t="s">
        <v>647</v>
      </c>
      <c r="C138" s="785" t="s">
        <v>647</v>
      </c>
    </row>
    <row r="140">
      <c r="A140" s="786" t="s">
        <v>1259</v>
      </c>
      <c r="B140" s="242" t="b">
        <v>0</v>
      </c>
      <c r="C140" s="242" t="b">
        <v>0</v>
      </c>
    </row>
    <row r="141">
      <c r="A141" s="786" t="s">
        <v>1260</v>
      </c>
      <c r="B141" s="242" t="b">
        <v>0</v>
      </c>
      <c r="C141" s="242" t="b">
        <v>0</v>
      </c>
    </row>
    <row r="142">
      <c r="A142" s="786" t="s">
        <v>1261</v>
      </c>
      <c r="B142" s="242" t="b">
        <v>0</v>
      </c>
      <c r="C142" s="242" t="b">
        <v>0</v>
      </c>
    </row>
    <row r="143">
      <c r="A143" s="786" t="s">
        <v>1262</v>
      </c>
      <c r="B143" s="242" t="b">
        <v>0</v>
      </c>
      <c r="C143" s="242" t="b">
        <v>0</v>
      </c>
    </row>
    <row r="144">
      <c r="A144" s="789" t="s">
        <v>1263</v>
      </c>
      <c r="B144" s="242" t="b">
        <v>0</v>
      </c>
      <c r="C144" s="242" t="b">
        <v>0</v>
      </c>
    </row>
    <row r="145">
      <c r="A145" s="786" t="s">
        <v>1264</v>
      </c>
      <c r="B145" s="242" t="b">
        <v>0</v>
      </c>
      <c r="C145" s="242" t="b">
        <v>0</v>
      </c>
    </row>
    <row r="147">
      <c r="A147" s="785" t="s">
        <v>1166</v>
      </c>
      <c r="B147" s="785" t="s">
        <v>647</v>
      </c>
      <c r="C147" s="785" t="s">
        <v>647</v>
      </c>
    </row>
    <row r="149">
      <c r="A149" s="786" t="s">
        <v>1265</v>
      </c>
      <c r="B149" s="242" t="b">
        <v>0</v>
      </c>
      <c r="C149" s="242" t="b">
        <v>0</v>
      </c>
    </row>
    <row r="150">
      <c r="A150" s="786" t="s">
        <v>1266</v>
      </c>
      <c r="B150" s="242" t="b">
        <v>0</v>
      </c>
      <c r="C150" s="242" t="b">
        <v>0</v>
      </c>
    </row>
    <row r="151">
      <c r="A151" s="787" t="s">
        <v>142</v>
      </c>
      <c r="B151" s="242" t="b">
        <v>0</v>
      </c>
      <c r="C151" s="242" t="b">
        <v>0</v>
      </c>
    </row>
    <row r="152">
      <c r="A152" s="787" t="s">
        <v>1267</v>
      </c>
      <c r="B152" s="242" t="b">
        <v>0</v>
      </c>
      <c r="C152" s="242" t="b">
        <v>0</v>
      </c>
    </row>
    <row r="153">
      <c r="A153" s="786" t="s">
        <v>1268</v>
      </c>
      <c r="B153" s="242" t="b">
        <v>0</v>
      </c>
      <c r="C153" s="242" t="b">
        <v>0</v>
      </c>
    </row>
    <row r="154">
      <c r="A154" s="786" t="s">
        <v>1269</v>
      </c>
      <c r="B154" s="242" t="b">
        <v>0</v>
      </c>
      <c r="C154" s="242" t="b">
        <v>0</v>
      </c>
    </row>
    <row r="156">
      <c r="A156" s="785" t="s">
        <v>1270</v>
      </c>
      <c r="B156" s="785" t="s">
        <v>198</v>
      </c>
    </row>
    <row r="158">
      <c r="A158" s="787" t="s">
        <v>1271</v>
      </c>
      <c r="B158" s="242" t="b">
        <v>0</v>
      </c>
    </row>
    <row r="159">
      <c r="A159" s="787" t="s">
        <v>1272</v>
      </c>
      <c r="B159" s="242" t="b">
        <v>0</v>
      </c>
    </row>
    <row r="160">
      <c r="A160" s="787" t="s">
        <v>566</v>
      </c>
      <c r="B160" s="242" t="b">
        <v>0</v>
      </c>
    </row>
    <row r="161">
      <c r="A161" s="787" t="s">
        <v>826</v>
      </c>
      <c r="B161" s="242" t="b">
        <v>0</v>
      </c>
    </row>
    <row r="162">
      <c r="A162" s="787" t="s">
        <v>547</v>
      </c>
      <c r="B162" s="242" t="b">
        <v>0</v>
      </c>
    </row>
    <row r="163">
      <c r="A163" s="786" t="s">
        <v>1273</v>
      </c>
      <c r="B163" s="242" t="b">
        <v>0</v>
      </c>
    </row>
    <row r="164">
      <c r="A164" s="787" t="s">
        <v>243</v>
      </c>
      <c r="B164" s="242" t="b">
        <v>0</v>
      </c>
    </row>
    <row r="165">
      <c r="A165" s="787" t="s">
        <v>1274</v>
      </c>
      <c r="B165" s="242" t="b">
        <v>0</v>
      </c>
    </row>
    <row r="166">
      <c r="A166" s="789" t="s">
        <v>1275</v>
      </c>
      <c r="B166" s="242" t="b">
        <v>0</v>
      </c>
    </row>
  </sheetData>
  <mergeCells count="50">
    <mergeCell ref="A1:C1"/>
    <mergeCell ref="A3:A4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21:A22"/>
    <mergeCell ref="B21:B22"/>
    <mergeCell ref="A31:A32"/>
    <mergeCell ref="B31:B32"/>
    <mergeCell ref="B69:B71"/>
    <mergeCell ref="C69:C71"/>
    <mergeCell ref="A39:A40"/>
    <mergeCell ref="B39:B40"/>
    <mergeCell ref="C39:C40"/>
    <mergeCell ref="A56:A57"/>
    <mergeCell ref="B56:B57"/>
    <mergeCell ref="C56:C57"/>
    <mergeCell ref="A69:A70"/>
    <mergeCell ref="A78:A79"/>
    <mergeCell ref="B78:B80"/>
    <mergeCell ref="A94:A95"/>
    <mergeCell ref="B94:B95"/>
    <mergeCell ref="A103:A104"/>
    <mergeCell ref="B103:B104"/>
    <mergeCell ref="C103:C104"/>
    <mergeCell ref="A138:A139"/>
    <mergeCell ref="A147:A148"/>
    <mergeCell ref="B147:B148"/>
    <mergeCell ref="C147:C148"/>
    <mergeCell ref="A156:A157"/>
    <mergeCell ref="B156:B157"/>
    <mergeCell ref="A109:A110"/>
    <mergeCell ref="B109:B111"/>
    <mergeCell ref="C109:C111"/>
    <mergeCell ref="A127:A128"/>
    <mergeCell ref="B127:B128"/>
    <mergeCell ref="B138:B139"/>
    <mergeCell ref="C138:C139"/>
  </mergeCells>
  <conditionalFormatting sqref="B23:B29 B33:B37 B41:C54 B58:C67 B72:C77 B81:B92 B96:B101 B105:C107 B112:B116 C112:C117 B118:B125 C120 B129:B136 B140:C145 B149:C154 B158:B166 B1047">
    <cfRule type="containsText" dxfId="5" priority="1" operator="containsText" text="TRUE">
      <formula>NOT(ISERROR(SEARCH(("TRUE"),(B23))))</formula>
    </cfRule>
  </conditionalFormatting>
  <conditionalFormatting sqref="B5:C18">
    <cfRule type="containsText" dxfId="10" priority="2" operator="containsText" text="100.00%">
      <formula>NOT(ISERROR(SEARCH(("100.00%"),(B5))))</formula>
    </cfRule>
  </conditionalFormatting>
  <hyperlinks>
    <hyperlink r:id="rId2" location="slide=id.gb28c693da3_0_81" ref="A77"/>
    <hyperlink r:id="rId3" location="slide=id.gb28c693da3_0_81" ref="A86"/>
    <hyperlink r:id="rId4" location="slide=id.gb28c693da3_0_81" ref="A92"/>
    <hyperlink r:id="rId5" location="slide=id.p" ref="A133"/>
    <hyperlink r:id="rId6" location="slide=id.g32ff11ec5b_0_11" ref="A144"/>
    <hyperlink r:id="rId7" location="slide=id.g733eb7b089_0_26" ref="A166"/>
  </hyperlinks>
  <drawing r:id="rId8"/>
  <legacyDrawing r:id="rId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13"/>
    <col customWidth="1" min="2" max="2" width="11.38"/>
    <col customWidth="1" min="3" max="3" width="11.25"/>
    <col customWidth="1" min="4" max="4" width="11.38"/>
    <col customWidth="1" min="5" max="5" width="10.88"/>
    <col customWidth="1" min="6" max="6" width="18.38"/>
    <col customWidth="1" min="7" max="7" width="18.63"/>
  </cols>
  <sheetData>
    <row r="1">
      <c r="A1" s="793" t="s">
        <v>1276</v>
      </c>
      <c r="B1" s="793"/>
      <c r="C1" s="793" t="s">
        <v>1277</v>
      </c>
      <c r="G1" s="245"/>
    </row>
    <row r="2">
      <c r="A2" s="794" t="s">
        <v>1278</v>
      </c>
      <c r="B2" s="795"/>
      <c r="C2" s="796" t="s">
        <v>1279</v>
      </c>
      <c r="G2" s="245"/>
    </row>
    <row r="3">
      <c r="A3" s="797" t="s">
        <v>1280</v>
      </c>
      <c r="B3" s="798" t="s">
        <v>1281</v>
      </c>
      <c r="C3" s="797" t="s">
        <v>70</v>
      </c>
      <c r="G3" s="245"/>
    </row>
    <row r="4">
      <c r="A4" s="110" t="s">
        <v>1282</v>
      </c>
      <c r="B4" s="799" t="b">
        <v>0</v>
      </c>
      <c r="C4" s="800" t="s">
        <v>1283</v>
      </c>
      <c r="G4" s="245"/>
      <c r="H4" s="801"/>
    </row>
    <row r="5">
      <c r="A5" s="110" t="s">
        <v>1284</v>
      </c>
      <c r="B5" s="802" t="b">
        <v>0</v>
      </c>
      <c r="C5" s="800" t="s">
        <v>1285</v>
      </c>
      <c r="G5" s="245"/>
    </row>
    <row r="6">
      <c r="A6" s="110" t="s">
        <v>1286</v>
      </c>
      <c r="B6" s="802" t="b">
        <v>0</v>
      </c>
      <c r="C6" s="800" t="s">
        <v>1287</v>
      </c>
      <c r="G6" s="245"/>
    </row>
    <row r="7">
      <c r="A7" s="110" t="s">
        <v>1288</v>
      </c>
      <c r="B7" s="802" t="b">
        <v>0</v>
      </c>
      <c r="C7" s="800" t="s">
        <v>1289</v>
      </c>
      <c r="G7" s="245"/>
    </row>
    <row r="8">
      <c r="A8" s="110" t="s">
        <v>1290</v>
      </c>
      <c r="B8" s="802" t="b">
        <v>0</v>
      </c>
      <c r="C8" s="800" t="s">
        <v>1291</v>
      </c>
      <c r="G8" s="245"/>
    </row>
    <row r="9">
      <c r="A9" s="110" t="s">
        <v>1292</v>
      </c>
      <c r="B9" s="802" t="b">
        <v>0</v>
      </c>
      <c r="C9" s="800" t="s">
        <v>1293</v>
      </c>
      <c r="G9" s="245"/>
    </row>
    <row r="10">
      <c r="A10" s="110" t="s">
        <v>1294</v>
      </c>
      <c r="B10" s="802" t="b">
        <v>0</v>
      </c>
      <c r="C10" s="800" t="s">
        <v>1295</v>
      </c>
      <c r="G10" s="245"/>
    </row>
    <row r="11">
      <c r="A11" s="110" t="s">
        <v>1296</v>
      </c>
      <c r="B11" s="802" t="b">
        <v>0</v>
      </c>
      <c r="C11" s="800" t="s">
        <v>1297</v>
      </c>
      <c r="G11" s="245"/>
    </row>
    <row r="12">
      <c r="A12" s="110" t="s">
        <v>1298</v>
      </c>
      <c r="B12" s="802" t="b">
        <v>0</v>
      </c>
      <c r="C12" s="800" t="s">
        <v>1299</v>
      </c>
      <c r="G12" s="245"/>
    </row>
    <row r="13">
      <c r="A13" s="803" t="s">
        <v>1300</v>
      </c>
      <c r="B13" s="804" t="b">
        <v>0</v>
      </c>
      <c r="C13" s="805" t="s">
        <v>1301</v>
      </c>
      <c r="D13" s="759"/>
      <c r="E13" s="759"/>
      <c r="F13" s="759"/>
      <c r="G13" s="760"/>
    </row>
    <row r="14">
      <c r="A14" s="110"/>
      <c r="B14" s="800"/>
      <c r="C14" s="800"/>
    </row>
    <row r="15">
      <c r="A15" s="110"/>
      <c r="B15" s="800"/>
      <c r="C15" s="800"/>
    </row>
    <row r="16">
      <c r="A16" s="806" t="s">
        <v>1302</v>
      </c>
      <c r="B16" s="807" t="s">
        <v>1303</v>
      </c>
      <c r="C16" s="807" t="s">
        <v>1303</v>
      </c>
      <c r="D16" s="807" t="s">
        <v>1303</v>
      </c>
    </row>
    <row r="17">
      <c r="A17" s="110" t="s">
        <v>1304</v>
      </c>
      <c r="B17" s="808" t="b">
        <v>0</v>
      </c>
      <c r="C17" s="809" t="b">
        <v>0</v>
      </c>
      <c r="D17" s="808" t="b">
        <v>0</v>
      </c>
    </row>
    <row r="18">
      <c r="A18" s="110" t="s">
        <v>1305</v>
      </c>
      <c r="B18" s="802" t="b">
        <v>0</v>
      </c>
      <c r="C18" s="810" t="b">
        <v>0</v>
      </c>
      <c r="D18" s="802" t="b">
        <v>0</v>
      </c>
    </row>
    <row r="19">
      <c r="A19" s="110" t="s">
        <v>1306</v>
      </c>
      <c r="B19" s="802" t="b">
        <v>0</v>
      </c>
      <c r="C19" s="810" t="b">
        <v>0</v>
      </c>
      <c r="D19" s="802" t="b">
        <v>0</v>
      </c>
    </row>
    <row r="20">
      <c r="A20" s="110" t="s">
        <v>1307</v>
      </c>
      <c r="B20" s="802" t="b">
        <v>0</v>
      </c>
      <c r="C20" s="810" t="b">
        <v>0</v>
      </c>
      <c r="D20" s="802" t="b">
        <v>0</v>
      </c>
    </row>
    <row r="21">
      <c r="A21" s="110" t="s">
        <v>1308</v>
      </c>
      <c r="B21" s="802" t="b">
        <v>0</v>
      </c>
      <c r="C21" s="810" t="b">
        <v>0</v>
      </c>
      <c r="D21" s="802" t="b">
        <v>0</v>
      </c>
    </row>
    <row r="22">
      <c r="A22" s="110" t="s">
        <v>1309</v>
      </c>
      <c r="B22" s="802" t="b">
        <v>0</v>
      </c>
      <c r="C22" s="810" t="b">
        <v>0</v>
      </c>
      <c r="D22" s="802" t="b">
        <v>0</v>
      </c>
    </row>
    <row r="23">
      <c r="A23" s="803" t="s">
        <v>1310</v>
      </c>
      <c r="B23" s="804" t="b">
        <v>0</v>
      </c>
      <c r="C23" s="811" t="b">
        <v>0</v>
      </c>
      <c r="D23" s="804" t="b">
        <v>0</v>
      </c>
    </row>
    <row r="24">
      <c r="A24" s="110" t="s">
        <v>1311</v>
      </c>
      <c r="B24" s="802" t="b">
        <v>0</v>
      </c>
      <c r="C24" s="810" t="b">
        <v>0</v>
      </c>
      <c r="D24" s="802" t="b">
        <v>0</v>
      </c>
    </row>
    <row r="25">
      <c r="A25" s="110" t="s">
        <v>1305</v>
      </c>
      <c r="B25" s="802" t="b">
        <v>0</v>
      </c>
      <c r="C25" s="810" t="b">
        <v>0</v>
      </c>
      <c r="D25" s="802" t="b">
        <v>0</v>
      </c>
    </row>
    <row r="26">
      <c r="A26" s="110" t="s">
        <v>1306</v>
      </c>
      <c r="B26" s="802" t="b">
        <v>0</v>
      </c>
      <c r="C26" s="810" t="b">
        <v>0</v>
      </c>
      <c r="D26" s="802" t="b">
        <v>0</v>
      </c>
    </row>
    <row r="27">
      <c r="A27" s="110" t="s">
        <v>1307</v>
      </c>
      <c r="B27" s="802" t="b">
        <v>0</v>
      </c>
      <c r="C27" s="810" t="b">
        <v>0</v>
      </c>
      <c r="D27" s="802" t="b">
        <v>0</v>
      </c>
    </row>
    <row r="28">
      <c r="A28" s="110" t="s">
        <v>1312</v>
      </c>
      <c r="B28" s="802" t="b">
        <v>0</v>
      </c>
      <c r="C28" s="810" t="b">
        <v>0</v>
      </c>
      <c r="D28" s="802" t="b">
        <v>0</v>
      </c>
    </row>
    <row r="29">
      <c r="A29" s="803" t="s">
        <v>1313</v>
      </c>
      <c r="B29" s="804" t="b">
        <v>0</v>
      </c>
      <c r="C29" s="811" t="b">
        <v>0</v>
      </c>
      <c r="D29" s="804" t="b">
        <v>0</v>
      </c>
    </row>
    <row r="30">
      <c r="A30" s="110" t="s">
        <v>1314</v>
      </c>
      <c r="B30" s="802" t="b">
        <v>0</v>
      </c>
      <c r="C30" s="810" t="b">
        <v>0</v>
      </c>
      <c r="D30" s="802" t="b">
        <v>0</v>
      </c>
    </row>
    <row r="31">
      <c r="A31" s="110" t="s">
        <v>1305</v>
      </c>
      <c r="B31" s="802" t="b">
        <v>0</v>
      </c>
      <c r="C31" s="810" t="b">
        <v>0</v>
      </c>
      <c r="D31" s="802" t="b">
        <v>0</v>
      </c>
    </row>
    <row r="32">
      <c r="A32" s="110" t="s">
        <v>1315</v>
      </c>
      <c r="B32" s="802" t="b">
        <v>0</v>
      </c>
      <c r="C32" s="810" t="b">
        <v>0</v>
      </c>
      <c r="D32" s="802" t="b">
        <v>0</v>
      </c>
    </row>
    <row r="33">
      <c r="A33" s="110" t="s">
        <v>1316</v>
      </c>
      <c r="B33" s="802" t="b">
        <v>0</v>
      </c>
      <c r="C33" s="810" t="b">
        <v>0</v>
      </c>
      <c r="D33" s="802" t="b">
        <v>0</v>
      </c>
    </row>
    <row r="34">
      <c r="A34" s="110" t="s">
        <v>1317</v>
      </c>
      <c r="B34" s="802" t="b">
        <v>0</v>
      </c>
      <c r="C34" s="810" t="b">
        <v>0</v>
      </c>
      <c r="D34" s="802" t="b">
        <v>0</v>
      </c>
    </row>
    <row r="35">
      <c r="A35" s="110" t="s">
        <v>1318</v>
      </c>
      <c r="B35" s="802" t="b">
        <v>0</v>
      </c>
      <c r="C35" s="810" t="b">
        <v>0</v>
      </c>
      <c r="D35" s="802" t="b">
        <v>0</v>
      </c>
    </row>
    <row r="36">
      <c r="A36" s="803" t="s">
        <v>1319</v>
      </c>
      <c r="B36" s="804" t="b">
        <v>0</v>
      </c>
      <c r="C36" s="811" t="b">
        <v>0</v>
      </c>
      <c r="D36" s="804" t="b">
        <v>0</v>
      </c>
    </row>
    <row r="37">
      <c r="A37" s="812" t="s">
        <v>1320</v>
      </c>
      <c r="B37" s="813" t="s">
        <v>1303</v>
      </c>
      <c r="C37" s="813" t="s">
        <v>1303</v>
      </c>
      <c r="D37" s="813" t="s">
        <v>1303</v>
      </c>
    </row>
    <row r="38">
      <c r="A38" s="110" t="s">
        <v>1321</v>
      </c>
      <c r="B38" s="799" t="b">
        <v>0</v>
      </c>
      <c r="C38" s="814" t="b">
        <v>0</v>
      </c>
      <c r="D38" s="799" t="b">
        <v>0</v>
      </c>
    </row>
    <row r="39">
      <c r="A39" s="110" t="s">
        <v>1322</v>
      </c>
      <c r="B39" s="802" t="b">
        <v>0</v>
      </c>
      <c r="C39" s="810" t="b">
        <v>0</v>
      </c>
      <c r="D39" s="802" t="b">
        <v>0</v>
      </c>
    </row>
    <row r="40">
      <c r="A40" s="110" t="s">
        <v>1323</v>
      </c>
      <c r="B40" s="802" t="b">
        <v>0</v>
      </c>
      <c r="C40" s="810" t="b">
        <v>0</v>
      </c>
      <c r="D40" s="802" t="b">
        <v>0</v>
      </c>
    </row>
    <row r="41">
      <c r="A41" s="110" t="s">
        <v>1324</v>
      </c>
      <c r="B41" s="804" t="b">
        <v>0</v>
      </c>
      <c r="C41" s="811" t="b">
        <v>0</v>
      </c>
      <c r="D41" s="804" t="b">
        <v>0</v>
      </c>
    </row>
    <row r="42">
      <c r="A42" s="806" t="s">
        <v>1325</v>
      </c>
      <c r="B42" s="813" t="s">
        <v>1303</v>
      </c>
      <c r="C42" s="813" t="s">
        <v>1303</v>
      </c>
      <c r="D42" s="813" t="s">
        <v>1303</v>
      </c>
    </row>
    <row r="43">
      <c r="A43" s="110" t="s">
        <v>1326</v>
      </c>
      <c r="B43" s="808" t="b">
        <v>0</v>
      </c>
      <c r="C43" s="809" t="b">
        <v>0</v>
      </c>
      <c r="D43" s="808" t="b">
        <v>0</v>
      </c>
    </row>
    <row r="44">
      <c r="A44" s="110" t="s">
        <v>1327</v>
      </c>
      <c r="B44" s="802" t="b">
        <v>0</v>
      </c>
      <c r="C44" s="810" t="b">
        <v>0</v>
      </c>
      <c r="D44" s="802" t="b">
        <v>0</v>
      </c>
    </row>
    <row r="45">
      <c r="A45" s="110" t="s">
        <v>1328</v>
      </c>
      <c r="B45" s="802" t="b">
        <v>0</v>
      </c>
      <c r="C45" s="810" t="b">
        <v>0</v>
      </c>
      <c r="D45" s="802" t="b">
        <v>0</v>
      </c>
    </row>
    <row r="46">
      <c r="A46" s="110" t="s">
        <v>1329</v>
      </c>
      <c r="B46" s="802" t="b">
        <v>0</v>
      </c>
      <c r="C46" s="810" t="b">
        <v>0</v>
      </c>
      <c r="D46" s="802" t="b">
        <v>0</v>
      </c>
    </row>
    <row r="47">
      <c r="A47" s="110" t="s">
        <v>1330</v>
      </c>
      <c r="B47" s="802" t="b">
        <v>0</v>
      </c>
      <c r="C47" s="810" t="b">
        <v>0</v>
      </c>
      <c r="D47" s="802" t="b">
        <v>0</v>
      </c>
    </row>
    <row r="48">
      <c r="A48" s="110" t="s">
        <v>1331</v>
      </c>
      <c r="B48" s="804" t="b">
        <v>0</v>
      </c>
      <c r="C48" s="811" t="b">
        <v>0</v>
      </c>
      <c r="D48" s="804" t="b">
        <v>0</v>
      </c>
    </row>
    <row r="49">
      <c r="A49" s="806" t="s">
        <v>1332</v>
      </c>
      <c r="B49" s="813" t="s">
        <v>1303</v>
      </c>
      <c r="C49" s="813" t="s">
        <v>1303</v>
      </c>
      <c r="D49" s="815" t="s">
        <v>1303</v>
      </c>
    </row>
    <row r="50">
      <c r="A50" s="110" t="s">
        <v>1333</v>
      </c>
      <c r="B50" s="808" t="b">
        <v>0</v>
      </c>
      <c r="C50" s="816" t="b">
        <v>0</v>
      </c>
      <c r="D50" s="808" t="b">
        <v>0</v>
      </c>
    </row>
    <row r="51">
      <c r="A51" s="110" t="s">
        <v>1334</v>
      </c>
      <c r="B51" s="802" t="b">
        <v>0</v>
      </c>
      <c r="C51" s="817" t="b">
        <v>0</v>
      </c>
      <c r="D51" s="802" t="b">
        <v>0</v>
      </c>
    </row>
    <row r="52">
      <c r="A52" s="110" t="s">
        <v>1335</v>
      </c>
      <c r="B52" s="802" t="b">
        <v>0</v>
      </c>
      <c r="C52" s="817" t="b">
        <v>0</v>
      </c>
      <c r="D52" s="802" t="b">
        <v>0</v>
      </c>
    </row>
    <row r="53">
      <c r="A53" s="110" t="s">
        <v>1336</v>
      </c>
      <c r="B53" s="802" t="b">
        <v>0</v>
      </c>
      <c r="C53" s="817" t="b">
        <v>0</v>
      </c>
      <c r="D53" s="802" t="b">
        <v>0</v>
      </c>
    </row>
    <row r="54">
      <c r="A54" s="803" t="s">
        <v>1337</v>
      </c>
      <c r="B54" s="804" t="b">
        <v>0</v>
      </c>
      <c r="C54" s="818" t="b">
        <v>0</v>
      </c>
      <c r="D54" s="818" t="b">
        <v>0</v>
      </c>
    </row>
  </sheetData>
  <mergeCells count="13">
    <mergeCell ref="C8:G8"/>
    <mergeCell ref="C9:G9"/>
    <mergeCell ref="C10:G10"/>
    <mergeCell ref="C11:G11"/>
    <mergeCell ref="C12:G12"/>
    <mergeCell ref="C13:G13"/>
    <mergeCell ref="C1:G1"/>
    <mergeCell ref="C2:G2"/>
    <mergeCell ref="C3:G3"/>
    <mergeCell ref="C4:G4"/>
    <mergeCell ref="C5:G5"/>
    <mergeCell ref="C6:G6"/>
    <mergeCell ref="C7:G7"/>
  </mergeCells>
  <conditionalFormatting sqref="B4:B13 B17:D36 B38:D41 B43:D48 B50:D54">
    <cfRule type="containsText" dxfId="5" priority="1" operator="containsText" text="TRUE">
      <formula>NOT(ISERROR(SEARCH(("TRUE"),(B4))))</formula>
    </cfRule>
  </conditionalFormatting>
  <conditionalFormatting sqref="B4:B13 B17:D36 B38:D41 B43:D48 B50:D54">
    <cfRule type="containsText" dxfId="11" priority="2" operator="containsText" text="FALSE">
      <formula>NOT(ISERROR(SEARCH(("FALSE"),(B4))))</formula>
    </cfRule>
  </conditionalFormatting>
  <hyperlinks>
    <hyperlink r:id="rId2" location="slide=id.g2d04f265c33_0_0" ref="C2"/>
  </hyperlinks>
  <drawing r:id="rId3"/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23.13"/>
    <col customWidth="1" min="4" max="5" width="13.38"/>
    <col customWidth="1" min="7" max="7" width="20.75"/>
    <col customWidth="1" min="8" max="9" width="13.75"/>
    <col customWidth="1" min="11" max="11" width="24.75"/>
    <col customWidth="1" min="12" max="13" width="14.13"/>
  </cols>
  <sheetData>
    <row r="1">
      <c r="A1" s="813" t="s">
        <v>1338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</row>
    <row r="2">
      <c r="A2" s="819"/>
      <c r="B2" s="820" t="s">
        <v>1339</v>
      </c>
      <c r="C2" s="820"/>
      <c r="D2" s="820"/>
      <c r="E2" s="821"/>
      <c r="F2" s="822" t="s">
        <v>5</v>
      </c>
      <c r="G2" s="173"/>
      <c r="H2" s="173"/>
      <c r="I2" s="174"/>
      <c r="J2" s="822" t="s">
        <v>411</v>
      </c>
      <c r="K2" s="173"/>
      <c r="L2" s="173"/>
      <c r="M2" s="174"/>
    </row>
    <row r="3">
      <c r="A3" s="819"/>
      <c r="B3" s="821" t="s">
        <v>1340</v>
      </c>
      <c r="C3" s="821" t="s">
        <v>1341</v>
      </c>
      <c r="D3" s="821" t="s">
        <v>430</v>
      </c>
      <c r="E3" s="823" t="s">
        <v>1342</v>
      </c>
      <c r="F3" s="823" t="s">
        <v>1340</v>
      </c>
      <c r="G3" s="821" t="s">
        <v>1341</v>
      </c>
      <c r="H3" s="821" t="s">
        <v>430</v>
      </c>
      <c r="I3" s="823" t="s">
        <v>1342</v>
      </c>
      <c r="J3" s="823" t="s">
        <v>1340</v>
      </c>
      <c r="K3" s="821" t="s">
        <v>1341</v>
      </c>
      <c r="L3" s="821" t="s">
        <v>430</v>
      </c>
      <c r="M3" s="823" t="s">
        <v>1342</v>
      </c>
    </row>
    <row r="4">
      <c r="A4" s="824" t="s">
        <v>1343</v>
      </c>
      <c r="B4" s="180" t="s">
        <v>1344</v>
      </c>
      <c r="C4" s="180"/>
      <c r="D4" s="180"/>
      <c r="E4" s="180" t="s">
        <v>1345</v>
      </c>
      <c r="F4" s="183"/>
      <c r="G4" s="183"/>
      <c r="H4" s="183"/>
      <c r="I4" s="183"/>
      <c r="J4" s="183"/>
      <c r="K4" s="183"/>
      <c r="L4" s="183"/>
      <c r="M4" s="183"/>
    </row>
    <row r="5">
      <c r="A5" s="825" t="s">
        <v>1346</v>
      </c>
      <c r="B5" s="180" t="s">
        <v>1347</v>
      </c>
      <c r="C5" s="180"/>
      <c r="D5" s="180"/>
      <c r="E5" s="180" t="s">
        <v>1348</v>
      </c>
      <c r="F5" s="183"/>
      <c r="G5" s="183"/>
      <c r="H5" s="183"/>
      <c r="I5" s="183"/>
      <c r="J5" s="183"/>
      <c r="K5" s="183"/>
      <c r="L5" s="183"/>
      <c r="M5" s="183"/>
    </row>
    <row r="6">
      <c r="A6" s="825" t="s">
        <v>1349</v>
      </c>
      <c r="B6" s="180" t="s">
        <v>1350</v>
      </c>
      <c r="C6" s="180"/>
      <c r="D6" s="180"/>
      <c r="E6" s="180" t="s">
        <v>546</v>
      </c>
      <c r="F6" s="183"/>
      <c r="G6" s="183"/>
      <c r="H6" s="183"/>
      <c r="I6" s="183"/>
      <c r="J6" s="183"/>
      <c r="K6" s="183"/>
      <c r="L6" s="183"/>
      <c r="M6" s="183"/>
    </row>
    <row r="7">
      <c r="A7" s="826" t="s">
        <v>1351</v>
      </c>
      <c r="B7" s="827" t="s">
        <v>1352</v>
      </c>
      <c r="C7" s="490"/>
      <c r="D7" s="828"/>
      <c r="E7" s="490"/>
      <c r="F7" s="490"/>
      <c r="G7" s="490"/>
      <c r="H7" s="490"/>
      <c r="I7" s="490"/>
      <c r="J7" s="490"/>
      <c r="K7" s="490"/>
      <c r="L7" s="490"/>
      <c r="M7" s="490"/>
      <c r="N7" s="490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>
      <c r="A8" s="829" t="s">
        <v>1353</v>
      </c>
      <c r="B8" s="610"/>
      <c r="C8" s="610"/>
      <c r="D8" s="610"/>
      <c r="E8" s="610"/>
      <c r="F8" s="610"/>
      <c r="G8" s="610"/>
      <c r="H8" s="610"/>
      <c r="I8" s="610"/>
      <c r="J8" s="610"/>
      <c r="K8" s="610"/>
      <c r="L8" s="610"/>
      <c r="M8" s="610"/>
    </row>
    <row r="9">
      <c r="A9" s="610"/>
      <c r="B9" s="610"/>
      <c r="C9" s="610"/>
      <c r="D9" s="610"/>
      <c r="E9" s="610"/>
      <c r="F9" s="610"/>
      <c r="G9" s="610"/>
      <c r="H9" s="610"/>
      <c r="I9" s="610"/>
      <c r="J9" s="610"/>
      <c r="K9" s="610"/>
      <c r="L9" s="610"/>
      <c r="M9" s="610"/>
    </row>
    <row r="10">
      <c r="A10" s="116"/>
      <c r="B10" s="610"/>
      <c r="C10" s="610"/>
      <c r="D10" s="610"/>
      <c r="E10" s="610"/>
      <c r="F10" s="610"/>
      <c r="G10" s="610"/>
      <c r="H10" s="610"/>
      <c r="I10" s="610"/>
      <c r="J10" s="610"/>
      <c r="K10" s="610"/>
      <c r="L10" s="610"/>
      <c r="M10" s="610"/>
    </row>
    <row r="11">
      <c r="A11" s="610"/>
      <c r="B11" s="610"/>
      <c r="C11" s="610"/>
      <c r="D11" s="610"/>
      <c r="E11" s="610"/>
      <c r="F11" s="610"/>
      <c r="G11" s="610"/>
      <c r="H11" s="610"/>
      <c r="I11" s="610"/>
      <c r="J11" s="610"/>
      <c r="K11" s="610"/>
      <c r="L11" s="610"/>
      <c r="M11" s="610"/>
    </row>
    <row r="12">
      <c r="A12" s="610"/>
      <c r="B12" s="610"/>
      <c r="C12" s="610"/>
      <c r="D12" s="610"/>
      <c r="E12" s="610"/>
      <c r="F12" s="610"/>
      <c r="G12" s="610"/>
      <c r="H12" s="610"/>
      <c r="I12" s="610"/>
      <c r="J12" s="610"/>
      <c r="K12" s="610"/>
      <c r="L12" s="610"/>
      <c r="M12" s="610"/>
    </row>
    <row r="13">
      <c r="A13" s="610"/>
      <c r="B13" s="610"/>
      <c r="C13" s="610"/>
      <c r="D13" s="610"/>
      <c r="E13" s="610"/>
      <c r="F13" s="610"/>
      <c r="G13" s="610"/>
      <c r="H13" s="610"/>
      <c r="I13" s="610"/>
      <c r="J13" s="610"/>
      <c r="K13" s="610"/>
      <c r="L13" s="610"/>
      <c r="M13" s="610"/>
    </row>
    <row r="14">
      <c r="A14" s="610"/>
      <c r="B14" s="610"/>
      <c r="C14" s="610"/>
      <c r="D14" s="610"/>
      <c r="E14" s="610"/>
      <c r="F14" s="610"/>
      <c r="G14" s="610"/>
      <c r="H14" s="610"/>
      <c r="I14" s="610"/>
      <c r="J14" s="610"/>
      <c r="K14" s="610"/>
      <c r="L14" s="610"/>
      <c r="M14" s="610"/>
    </row>
    <row r="15">
      <c r="A15" s="610"/>
      <c r="B15" s="610"/>
      <c r="C15" s="610"/>
      <c r="D15" s="610"/>
      <c r="E15" s="610"/>
      <c r="F15" s="610"/>
      <c r="G15" s="610"/>
      <c r="H15" s="610"/>
      <c r="I15" s="610"/>
      <c r="J15" s="610"/>
      <c r="K15" s="610"/>
      <c r="L15" s="610"/>
      <c r="M15" s="610"/>
    </row>
    <row r="16">
      <c r="A16" s="610"/>
      <c r="B16" s="610"/>
      <c r="C16" s="610"/>
      <c r="D16" s="610"/>
      <c r="E16" s="610"/>
      <c r="F16" s="610"/>
      <c r="G16" s="610"/>
      <c r="H16" s="610"/>
      <c r="I16" s="610"/>
      <c r="J16" s="610"/>
      <c r="K16" s="610"/>
      <c r="L16" s="610"/>
      <c r="M16" s="610"/>
    </row>
    <row r="17">
      <c r="A17" s="830"/>
      <c r="B17" s="610"/>
      <c r="C17" s="610"/>
      <c r="D17" s="610"/>
      <c r="E17" s="610"/>
      <c r="F17" s="610"/>
      <c r="G17" s="610"/>
      <c r="H17" s="610"/>
      <c r="I17" s="610"/>
      <c r="J17" s="610"/>
      <c r="K17" s="610"/>
      <c r="L17" s="610"/>
      <c r="M17" s="610"/>
    </row>
    <row r="18">
      <c r="A18" s="610"/>
      <c r="B18" s="610"/>
      <c r="C18" s="610"/>
      <c r="D18" s="610"/>
      <c r="E18" s="610"/>
      <c r="F18" s="610"/>
      <c r="G18" s="610"/>
      <c r="H18" s="610"/>
      <c r="I18" s="610"/>
      <c r="J18" s="610"/>
      <c r="K18" s="610"/>
      <c r="L18" s="610"/>
      <c r="M18" s="610"/>
    </row>
    <row r="19">
      <c r="A19" s="610"/>
      <c r="B19" s="610"/>
      <c r="C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</row>
  </sheetData>
  <mergeCells count="2">
    <mergeCell ref="F2:I2"/>
    <mergeCell ref="J2:M2"/>
  </mergeCells>
  <hyperlinks>
    <hyperlink r:id="rId1" location="gid=1812451897" ref="A8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  <col customWidth="1" min="5" max="5" width="31.75"/>
    <col customWidth="1" min="7" max="7" width="61.38"/>
  </cols>
  <sheetData>
    <row r="1" ht="17.25" customHeight="1">
      <c r="A1" s="831" t="s">
        <v>1354</v>
      </c>
      <c r="B1" s="832"/>
      <c r="C1" s="832"/>
      <c r="D1" s="832"/>
      <c r="E1" s="832"/>
      <c r="F1" s="833"/>
      <c r="G1" s="833"/>
    </row>
    <row r="2">
      <c r="A2" s="798" t="s">
        <v>1355</v>
      </c>
      <c r="F2" s="610"/>
      <c r="G2" s="834" t="s">
        <v>1356</v>
      </c>
    </row>
    <row r="3">
      <c r="A3" s="835" t="s">
        <v>1357</v>
      </c>
      <c r="B3" s="835" t="s">
        <v>1358</v>
      </c>
      <c r="C3" s="835" t="s">
        <v>1359</v>
      </c>
      <c r="D3" s="835" t="s">
        <v>1360</v>
      </c>
      <c r="E3" s="835" t="s">
        <v>1361</v>
      </c>
      <c r="F3" s="610"/>
      <c r="G3" s="610"/>
    </row>
    <row r="4">
      <c r="A4" s="836" t="s">
        <v>1362</v>
      </c>
      <c r="B4" s="836">
        <v>4.0</v>
      </c>
      <c r="C4" s="836" t="s">
        <v>520</v>
      </c>
      <c r="D4" s="837" t="s">
        <v>1363</v>
      </c>
      <c r="E4" s="837" t="s">
        <v>1364</v>
      </c>
      <c r="F4" s="610"/>
      <c r="G4" s="838" t="s">
        <v>1365</v>
      </c>
    </row>
    <row r="5">
      <c r="A5" s="190"/>
      <c r="B5" s="190"/>
      <c r="C5" s="190"/>
      <c r="D5" s="190"/>
      <c r="E5" s="190"/>
    </row>
    <row r="6">
      <c r="A6" s="190"/>
      <c r="B6" s="190"/>
      <c r="C6" s="190"/>
      <c r="D6" s="190"/>
      <c r="E6" s="190"/>
    </row>
    <row r="7">
      <c r="A7" s="190"/>
      <c r="B7" s="190"/>
      <c r="C7" s="190"/>
      <c r="D7" s="190"/>
      <c r="E7" s="190"/>
    </row>
    <row r="8">
      <c r="A8" s="190"/>
      <c r="B8" s="190"/>
      <c r="C8" s="190"/>
      <c r="D8" s="190"/>
      <c r="E8" s="190"/>
    </row>
    <row r="9">
      <c r="A9" s="190"/>
      <c r="B9" s="190"/>
      <c r="C9" s="190"/>
      <c r="D9" s="190"/>
      <c r="E9" s="190"/>
    </row>
    <row r="10">
      <c r="A10" s="190"/>
      <c r="B10" s="190"/>
      <c r="C10" s="190"/>
      <c r="D10" s="190"/>
      <c r="E10" s="190"/>
    </row>
    <row r="14">
      <c r="A14" s="829" t="s">
        <v>1353</v>
      </c>
    </row>
  </sheetData>
  <mergeCells count="1">
    <mergeCell ref="A2:E2"/>
  </mergeCells>
  <hyperlinks>
    <hyperlink r:id="rId1" location="gid=165962780" ref="G2"/>
    <hyperlink r:id="rId2" location="gid=889037472" ref="G4"/>
    <hyperlink r:id="rId3" location="gid=1812451897" ref="A14"/>
  </hyperlinks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88"/>
  </cols>
  <sheetData>
    <row r="1">
      <c r="A1" s="839" t="s">
        <v>1366</v>
      </c>
      <c r="B1" s="840"/>
      <c r="C1" s="840"/>
    </row>
    <row r="2">
      <c r="A2" s="841" t="s">
        <v>1367</v>
      </c>
      <c r="B2" s="840"/>
      <c r="C2" s="840"/>
    </row>
    <row r="3">
      <c r="A3" s="842" t="s">
        <v>1368</v>
      </c>
      <c r="B3" s="814" t="b">
        <v>0</v>
      </c>
      <c r="C3" s="799" t="b">
        <v>0</v>
      </c>
    </row>
    <row r="4">
      <c r="A4" s="843" t="s">
        <v>1369</v>
      </c>
      <c r="B4" s="810" t="b">
        <v>0</v>
      </c>
      <c r="C4" s="802" t="b">
        <v>0</v>
      </c>
    </row>
    <row r="5">
      <c r="A5" s="843" t="s">
        <v>1370</v>
      </c>
      <c r="B5" s="810" t="b">
        <v>0</v>
      </c>
      <c r="C5" s="802" t="b">
        <v>0</v>
      </c>
    </row>
    <row r="6">
      <c r="A6" s="844" t="s">
        <v>1371</v>
      </c>
      <c r="B6" s="810" t="b">
        <v>0</v>
      </c>
      <c r="C6" s="802" t="b">
        <v>0</v>
      </c>
    </row>
    <row r="7">
      <c r="A7" s="844" t="s">
        <v>1372</v>
      </c>
      <c r="B7" s="810" t="b">
        <v>0</v>
      </c>
      <c r="C7" s="802" t="b">
        <v>0</v>
      </c>
    </row>
    <row r="8">
      <c r="A8" s="844" t="s">
        <v>1373</v>
      </c>
      <c r="B8" s="810" t="b">
        <v>0</v>
      </c>
      <c r="C8" s="802" t="b">
        <v>0</v>
      </c>
    </row>
    <row r="9">
      <c r="A9" s="845" t="s">
        <v>1374</v>
      </c>
      <c r="B9" s="810" t="b">
        <v>0</v>
      </c>
      <c r="C9" s="802" t="b">
        <v>0</v>
      </c>
    </row>
    <row r="10">
      <c r="A10" s="845" t="s">
        <v>1375</v>
      </c>
      <c r="B10" s="810" t="b">
        <v>0</v>
      </c>
      <c r="C10" s="802" t="b">
        <v>0</v>
      </c>
    </row>
    <row r="11">
      <c r="A11" s="845" t="s">
        <v>1376</v>
      </c>
      <c r="B11" s="810" t="b">
        <v>0</v>
      </c>
      <c r="C11" s="802" t="b">
        <v>0</v>
      </c>
    </row>
    <row r="12">
      <c r="A12" s="845" t="s">
        <v>1377</v>
      </c>
      <c r="B12" s="810" t="b">
        <v>0</v>
      </c>
      <c r="C12" s="802" t="b">
        <v>0</v>
      </c>
    </row>
    <row r="13">
      <c r="A13" s="845" t="s">
        <v>1378</v>
      </c>
      <c r="B13" s="810" t="b">
        <v>0</v>
      </c>
      <c r="C13" s="802" t="b">
        <v>0</v>
      </c>
    </row>
    <row r="14">
      <c r="A14" s="844" t="s">
        <v>1379</v>
      </c>
      <c r="B14" s="810" t="b">
        <v>0</v>
      </c>
      <c r="C14" s="802" t="b">
        <v>0</v>
      </c>
    </row>
    <row r="15">
      <c r="A15" s="846" t="s">
        <v>1380</v>
      </c>
      <c r="B15" s="847" t="b">
        <v>0</v>
      </c>
      <c r="C15" s="848" t="b">
        <v>0</v>
      </c>
    </row>
  </sheetData>
  <conditionalFormatting sqref="B3:C15">
    <cfRule type="containsText" dxfId="5" priority="1" operator="containsText" text="TRUE">
      <formula>NOT(ISERROR(SEARCH(("TRUE"),(B3))))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11.38"/>
    <col customWidth="1" min="4" max="4" width="61.75"/>
    <col customWidth="1" min="5" max="5" width="36.13"/>
    <col customWidth="1" min="6" max="6" width="44.63"/>
    <col customWidth="1" min="7" max="7" width="18.5"/>
    <col customWidth="1" min="8" max="8" width="12.25"/>
    <col customWidth="1" min="9" max="9" width="27.5"/>
  </cols>
  <sheetData>
    <row r="1">
      <c r="A1" s="849" t="s">
        <v>1381</v>
      </c>
      <c r="B1" s="849"/>
      <c r="C1" s="850" t="s">
        <v>1382</v>
      </c>
      <c r="D1" s="849"/>
      <c r="E1" s="849"/>
      <c r="F1" s="849"/>
      <c r="G1" s="849"/>
      <c r="H1" s="849"/>
      <c r="I1" s="851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</row>
    <row r="2">
      <c r="A2" s="849" t="s">
        <v>1383</v>
      </c>
      <c r="I2" s="851"/>
      <c r="J2" s="852"/>
      <c r="K2" s="852"/>
      <c r="L2" s="852"/>
      <c r="M2" s="852"/>
      <c r="N2" s="852"/>
      <c r="O2" s="852"/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</row>
    <row r="3">
      <c r="I3" s="851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/>
      <c r="U3" s="852"/>
      <c r="V3" s="852"/>
      <c r="W3" s="852"/>
      <c r="X3" s="852"/>
      <c r="Y3" s="852"/>
      <c r="Z3" s="852"/>
    </row>
    <row r="4">
      <c r="A4" s="853" t="s">
        <v>1384</v>
      </c>
      <c r="B4" s="853" t="s">
        <v>1385</v>
      </c>
      <c r="C4" s="853" t="s">
        <v>1386</v>
      </c>
      <c r="D4" s="853" t="s">
        <v>1387</v>
      </c>
      <c r="E4" s="853" t="s">
        <v>1388</v>
      </c>
      <c r="F4" s="853" t="s">
        <v>1389</v>
      </c>
      <c r="G4" s="853" t="s">
        <v>70</v>
      </c>
      <c r="H4" s="853" t="s">
        <v>1390</v>
      </c>
      <c r="I4" s="853" t="s">
        <v>1391</v>
      </c>
      <c r="J4" s="854"/>
      <c r="K4" s="854"/>
      <c r="L4" s="854"/>
      <c r="M4" s="854"/>
      <c r="N4" s="854"/>
      <c r="O4" s="854"/>
      <c r="P4" s="854"/>
      <c r="Q4" s="854"/>
      <c r="R4" s="854"/>
      <c r="S4" s="854"/>
      <c r="T4" s="854"/>
      <c r="U4" s="854"/>
      <c r="V4" s="854"/>
      <c r="W4" s="854"/>
      <c r="X4" s="854"/>
      <c r="Y4" s="854"/>
      <c r="Z4" s="854"/>
    </row>
    <row r="5">
      <c r="A5" s="855" t="s">
        <v>1392</v>
      </c>
      <c r="B5" s="855" t="s">
        <v>1393</v>
      </c>
      <c r="C5" s="855" t="s">
        <v>125</v>
      </c>
      <c r="D5" s="855" t="s">
        <v>1394</v>
      </c>
      <c r="E5" s="855"/>
      <c r="F5" s="856"/>
      <c r="G5" s="856"/>
      <c r="H5" s="857" t="b">
        <v>1</v>
      </c>
      <c r="I5" s="857" t="b">
        <v>0</v>
      </c>
      <c r="J5" s="610"/>
      <c r="K5" s="610"/>
      <c r="L5" s="610"/>
      <c r="M5" s="610"/>
      <c r="N5" s="610"/>
      <c r="O5" s="610"/>
      <c r="P5" s="610"/>
      <c r="Q5" s="610"/>
      <c r="R5" s="610"/>
      <c r="S5" s="610"/>
      <c r="T5" s="610"/>
      <c r="U5" s="610"/>
      <c r="V5" s="610"/>
      <c r="W5" s="610"/>
      <c r="X5" s="610"/>
      <c r="Y5" s="610"/>
      <c r="Z5" s="610"/>
    </row>
    <row r="6">
      <c r="A6" s="830" t="s">
        <v>1395</v>
      </c>
      <c r="B6" s="830" t="s">
        <v>1396</v>
      </c>
      <c r="C6" s="830" t="s">
        <v>107</v>
      </c>
      <c r="D6" s="830" t="s">
        <v>1397</v>
      </c>
      <c r="E6" s="610"/>
      <c r="F6" s="610"/>
      <c r="G6" s="610"/>
      <c r="H6" s="610"/>
      <c r="I6" s="610"/>
      <c r="J6" s="610"/>
      <c r="K6" s="610"/>
      <c r="L6" s="610"/>
      <c r="M6" s="610"/>
      <c r="N6" s="610"/>
      <c r="O6" s="610"/>
      <c r="P6" s="610"/>
      <c r="Q6" s="610"/>
      <c r="R6" s="610"/>
      <c r="S6" s="610"/>
      <c r="T6" s="610"/>
      <c r="U6" s="610"/>
      <c r="V6" s="610"/>
      <c r="W6" s="610"/>
      <c r="X6" s="610"/>
      <c r="Y6" s="610"/>
      <c r="Z6" s="610"/>
    </row>
    <row r="7">
      <c r="A7" s="830" t="s">
        <v>1398</v>
      </c>
      <c r="B7" s="830" t="s">
        <v>1399</v>
      </c>
      <c r="C7" s="830" t="s">
        <v>107</v>
      </c>
      <c r="D7" s="830" t="s">
        <v>1400</v>
      </c>
      <c r="E7" s="830" t="s">
        <v>1401</v>
      </c>
      <c r="F7" s="610"/>
      <c r="G7" s="610"/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>
      <c r="A8" s="830" t="s">
        <v>1402</v>
      </c>
      <c r="B8" s="830" t="s">
        <v>432</v>
      </c>
      <c r="C8" s="830" t="s">
        <v>107</v>
      </c>
      <c r="D8" s="830" t="s">
        <v>1403</v>
      </c>
      <c r="E8" s="830" t="s">
        <v>1404</v>
      </c>
      <c r="F8" s="610"/>
      <c r="G8" s="610"/>
      <c r="H8" s="610"/>
      <c r="I8" s="610"/>
      <c r="J8" s="610"/>
      <c r="K8" s="610"/>
      <c r="L8" s="610"/>
      <c r="M8" s="610"/>
      <c r="N8" s="610"/>
      <c r="O8" s="610"/>
      <c r="P8" s="610"/>
      <c r="Q8" s="610"/>
      <c r="R8" s="610"/>
      <c r="S8" s="610"/>
      <c r="T8" s="610"/>
      <c r="U8" s="610"/>
      <c r="V8" s="610"/>
      <c r="W8" s="610"/>
      <c r="X8" s="610"/>
      <c r="Y8" s="610"/>
      <c r="Z8" s="610"/>
    </row>
    <row r="9">
      <c r="A9" s="830" t="s">
        <v>1402</v>
      </c>
      <c r="B9" s="830" t="s">
        <v>1405</v>
      </c>
      <c r="C9" s="830" t="s">
        <v>107</v>
      </c>
      <c r="D9" s="830" t="s">
        <v>1406</v>
      </c>
      <c r="E9" s="610"/>
      <c r="F9" s="610"/>
      <c r="G9" s="610"/>
      <c r="H9" s="610"/>
      <c r="I9" s="610"/>
      <c r="J9" s="610"/>
      <c r="K9" s="610"/>
      <c r="L9" s="610"/>
      <c r="M9" s="610"/>
      <c r="N9" s="610"/>
      <c r="O9" s="610"/>
      <c r="P9" s="610"/>
      <c r="Q9" s="610"/>
      <c r="R9" s="610"/>
      <c r="S9" s="610"/>
      <c r="T9" s="610"/>
      <c r="U9" s="610"/>
      <c r="V9" s="610"/>
      <c r="W9" s="610"/>
      <c r="X9" s="610"/>
      <c r="Y9" s="610"/>
      <c r="Z9" s="610"/>
    </row>
    <row r="10">
      <c r="A10" s="830" t="s">
        <v>1392</v>
      </c>
      <c r="B10" s="830" t="s">
        <v>1407</v>
      </c>
      <c r="C10" s="830" t="s">
        <v>107</v>
      </c>
      <c r="D10" s="830" t="s">
        <v>1408</v>
      </c>
      <c r="E10" s="830"/>
      <c r="F10" s="610"/>
      <c r="G10" s="830" t="s">
        <v>1409</v>
      </c>
      <c r="H10" s="610"/>
      <c r="I10" s="610"/>
      <c r="J10" s="610"/>
      <c r="K10" s="610"/>
      <c r="L10" s="610"/>
      <c r="M10" s="610"/>
      <c r="N10" s="610"/>
      <c r="O10" s="610"/>
      <c r="P10" s="610"/>
      <c r="Q10" s="610"/>
      <c r="R10" s="610"/>
      <c r="S10" s="610"/>
      <c r="T10" s="610"/>
      <c r="U10" s="610"/>
      <c r="V10" s="610"/>
      <c r="W10" s="610"/>
      <c r="X10" s="610"/>
      <c r="Y10" s="610"/>
      <c r="Z10" s="610"/>
    </row>
    <row r="11">
      <c r="A11" s="830"/>
      <c r="B11" s="830"/>
      <c r="C11" s="830"/>
      <c r="D11" s="830"/>
      <c r="E11" s="858"/>
      <c r="F11" s="610"/>
      <c r="G11" s="610"/>
      <c r="H11" s="610"/>
      <c r="I11" s="610"/>
      <c r="J11" s="610"/>
      <c r="K11" s="610"/>
      <c r="L11" s="610"/>
      <c r="M11" s="610"/>
      <c r="N11" s="610"/>
      <c r="O11" s="610"/>
      <c r="P11" s="610"/>
      <c r="Q11" s="610"/>
      <c r="R11" s="610"/>
      <c r="S11" s="610"/>
      <c r="T11" s="610"/>
      <c r="U11" s="610"/>
      <c r="V11" s="610"/>
      <c r="W11" s="610"/>
      <c r="X11" s="610"/>
      <c r="Y11" s="610"/>
      <c r="Z11" s="610"/>
    </row>
    <row r="12">
      <c r="A12" s="830"/>
      <c r="B12" s="830"/>
      <c r="C12" s="830"/>
      <c r="D12" s="830"/>
      <c r="E12" s="610"/>
      <c r="F12" s="610"/>
      <c r="G12" s="610"/>
      <c r="H12" s="610"/>
      <c r="I12" s="610"/>
      <c r="J12" s="610"/>
      <c r="K12" s="610"/>
      <c r="L12" s="610"/>
      <c r="M12" s="610"/>
      <c r="N12" s="610"/>
      <c r="O12" s="610"/>
      <c r="P12" s="610"/>
      <c r="Q12" s="610"/>
      <c r="R12" s="610"/>
      <c r="S12" s="610"/>
      <c r="T12" s="610"/>
      <c r="U12" s="610"/>
      <c r="V12" s="610"/>
      <c r="W12" s="610"/>
      <c r="X12" s="610"/>
      <c r="Y12" s="610"/>
      <c r="Z12" s="610"/>
    </row>
    <row r="13">
      <c r="A13" s="830"/>
      <c r="B13" s="830"/>
      <c r="C13" s="830"/>
      <c r="D13" s="830"/>
      <c r="E13" s="858"/>
      <c r="F13" s="610"/>
      <c r="G13" s="610"/>
      <c r="H13" s="610"/>
      <c r="I13" s="610"/>
      <c r="J13" s="610"/>
      <c r="K13" s="610"/>
      <c r="L13" s="610"/>
      <c r="M13" s="610"/>
      <c r="N13" s="610"/>
      <c r="O13" s="610"/>
      <c r="P13" s="610"/>
      <c r="Q13" s="610"/>
      <c r="R13" s="610"/>
      <c r="S13" s="610"/>
      <c r="T13" s="610"/>
      <c r="U13" s="610"/>
      <c r="V13" s="610"/>
      <c r="W13" s="610"/>
      <c r="X13" s="610"/>
      <c r="Y13" s="610"/>
      <c r="Z13" s="610"/>
    </row>
    <row r="14">
      <c r="A14" s="610"/>
      <c r="B14" s="610"/>
      <c r="C14" s="610"/>
      <c r="D14" s="610"/>
      <c r="E14" s="610"/>
      <c r="F14" s="610"/>
      <c r="G14" s="610"/>
      <c r="H14" s="610"/>
      <c r="I14" s="610"/>
      <c r="J14" s="610"/>
      <c r="K14" s="610"/>
      <c r="L14" s="610"/>
      <c r="M14" s="610"/>
      <c r="N14" s="610"/>
      <c r="O14" s="610"/>
      <c r="P14" s="610"/>
      <c r="Q14" s="610"/>
      <c r="R14" s="610"/>
      <c r="S14" s="610"/>
      <c r="T14" s="610"/>
      <c r="U14" s="610"/>
      <c r="V14" s="610"/>
      <c r="W14" s="610"/>
      <c r="X14" s="610"/>
      <c r="Y14" s="610"/>
      <c r="Z14" s="610"/>
    </row>
    <row r="15">
      <c r="A15" s="610"/>
      <c r="B15" s="610"/>
      <c r="C15" s="610"/>
      <c r="D15" s="610"/>
      <c r="E15" s="610"/>
      <c r="F15" s="610"/>
      <c r="G15" s="610"/>
      <c r="H15" s="610"/>
      <c r="I15" s="610"/>
      <c r="J15" s="610"/>
      <c r="K15" s="610"/>
      <c r="L15" s="610"/>
      <c r="M15" s="610"/>
      <c r="N15" s="610"/>
      <c r="O15" s="610"/>
      <c r="P15" s="610"/>
      <c r="Q15" s="610"/>
      <c r="R15" s="610"/>
      <c r="S15" s="610"/>
      <c r="T15" s="610"/>
      <c r="U15" s="610"/>
      <c r="V15" s="610"/>
      <c r="W15" s="610"/>
      <c r="X15" s="610"/>
      <c r="Y15" s="610"/>
      <c r="Z15" s="610"/>
    </row>
    <row r="16">
      <c r="A16" s="610"/>
      <c r="B16" s="610"/>
      <c r="C16" s="610"/>
      <c r="D16" s="610"/>
      <c r="E16" s="610"/>
      <c r="F16" s="610"/>
      <c r="G16" s="610"/>
      <c r="H16" s="610"/>
      <c r="I16" s="610"/>
      <c r="J16" s="610"/>
      <c r="K16" s="610"/>
      <c r="L16" s="610"/>
      <c r="M16" s="610"/>
      <c r="N16" s="610"/>
      <c r="O16" s="610"/>
      <c r="P16" s="610"/>
      <c r="Q16" s="610"/>
      <c r="R16" s="610"/>
      <c r="S16" s="610"/>
      <c r="T16" s="610"/>
      <c r="U16" s="610"/>
      <c r="V16" s="610"/>
      <c r="W16" s="610"/>
      <c r="X16" s="610"/>
      <c r="Y16" s="610"/>
      <c r="Z16" s="610"/>
    </row>
    <row r="17">
      <c r="A17" s="610"/>
      <c r="B17" s="610"/>
      <c r="C17" s="610"/>
      <c r="D17" s="610"/>
      <c r="E17" s="610"/>
      <c r="F17" s="610"/>
      <c r="G17" s="610"/>
      <c r="H17" s="610"/>
      <c r="I17" s="610"/>
      <c r="J17" s="610"/>
      <c r="K17" s="610"/>
      <c r="L17" s="610"/>
      <c r="M17" s="610"/>
      <c r="N17" s="610"/>
      <c r="O17" s="610"/>
      <c r="P17" s="610"/>
      <c r="Q17" s="610"/>
      <c r="R17" s="610"/>
      <c r="S17" s="610"/>
      <c r="T17" s="610"/>
      <c r="U17" s="610"/>
      <c r="V17" s="610"/>
      <c r="W17" s="610"/>
      <c r="X17" s="610"/>
      <c r="Y17" s="610"/>
      <c r="Z17" s="610"/>
    </row>
  </sheetData>
  <mergeCells count="1">
    <mergeCell ref="A2:H3"/>
  </mergeCells>
  <conditionalFormatting sqref="H5:I5">
    <cfRule type="containsText" dxfId="5" priority="1" operator="containsText" text="TRUE">
      <formula>NOT(ISERROR(SEARCH(("TRUE"),(H5))))</formula>
    </cfRule>
  </conditionalFormatting>
  <conditionalFormatting sqref="H5:I5">
    <cfRule type="containsText" dxfId="12" priority="2" operator="containsText" text="FALSE">
      <formula>NOT(ISERROR(SEARCH(("FALSE"),(H5))))</formula>
    </cfRule>
  </conditionalFormatting>
  <hyperlinks>
    <hyperlink r:id="rId1" location="gid=1446907432" ref="C1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1.75"/>
    <col customWidth="1" min="3" max="3" width="10.38"/>
    <col customWidth="1" min="4" max="4" width="30.75"/>
    <col customWidth="1" min="5" max="5" width="10.13"/>
    <col customWidth="1" min="6" max="6" width="42.13"/>
  </cols>
  <sheetData>
    <row r="1">
      <c r="A1" s="859" t="s">
        <v>1410</v>
      </c>
    </row>
    <row r="3">
      <c r="A3" s="860" t="s">
        <v>1411</v>
      </c>
      <c r="B3" s="860" t="s">
        <v>1412</v>
      </c>
      <c r="C3" s="860" t="s">
        <v>1413</v>
      </c>
      <c r="D3" s="860" t="s">
        <v>1414</v>
      </c>
      <c r="E3" s="861" t="s">
        <v>1415</v>
      </c>
      <c r="F3" s="860" t="s">
        <v>70</v>
      </c>
    </row>
    <row r="4">
      <c r="A4" s="58"/>
      <c r="B4" s="58"/>
      <c r="C4" s="58"/>
      <c r="D4" s="862" t="s">
        <v>1416</v>
      </c>
      <c r="E4" s="54" t="b">
        <v>0</v>
      </c>
      <c r="F4" s="863"/>
    </row>
    <row r="5">
      <c r="A5" s="58"/>
      <c r="B5" s="58"/>
      <c r="C5" s="58"/>
      <c r="D5" s="862" t="s">
        <v>1417</v>
      </c>
      <c r="E5" s="54" t="b">
        <v>0</v>
      </c>
      <c r="F5" s="863"/>
    </row>
    <row r="6">
      <c r="A6" s="58"/>
      <c r="B6" s="58"/>
      <c r="C6" s="58"/>
      <c r="D6" s="862" t="s">
        <v>1418</v>
      </c>
      <c r="E6" s="54" t="b">
        <v>0</v>
      </c>
      <c r="F6" s="863"/>
    </row>
    <row r="7">
      <c r="A7" s="58"/>
      <c r="B7" s="58"/>
      <c r="C7" s="58"/>
      <c r="D7" s="862" t="s">
        <v>1419</v>
      </c>
      <c r="E7" s="54" t="b">
        <v>0</v>
      </c>
      <c r="F7" s="863"/>
    </row>
    <row r="8">
      <c r="A8" s="58"/>
      <c r="B8" s="58"/>
      <c r="C8" s="58"/>
      <c r="D8" s="862" t="s">
        <v>1420</v>
      </c>
      <c r="E8" s="54" t="b">
        <v>0</v>
      </c>
      <c r="F8" s="863"/>
    </row>
    <row r="9">
      <c r="A9" s="58"/>
      <c r="B9" s="58"/>
      <c r="C9" s="58"/>
      <c r="D9" s="862"/>
      <c r="E9" s="54" t="b">
        <v>0</v>
      </c>
      <c r="F9" s="863"/>
    </row>
    <row r="10">
      <c r="A10" s="58"/>
      <c r="B10" s="864"/>
      <c r="C10" s="58"/>
      <c r="D10" s="862"/>
      <c r="E10" s="54" t="b">
        <v>0</v>
      </c>
      <c r="F10" s="863"/>
    </row>
    <row r="11">
      <c r="A11" s="58"/>
      <c r="B11" s="58"/>
      <c r="C11" s="58"/>
      <c r="D11" s="862"/>
      <c r="E11" s="54" t="b">
        <v>0</v>
      </c>
      <c r="F11" s="863"/>
    </row>
    <row r="12">
      <c r="A12" s="58"/>
      <c r="B12" s="58"/>
      <c r="C12" s="58"/>
      <c r="D12" s="862"/>
      <c r="E12" s="54" t="b">
        <v>0</v>
      </c>
      <c r="F12" s="863"/>
    </row>
    <row r="13">
      <c r="A13" s="58"/>
      <c r="B13" s="58"/>
      <c r="C13" s="58"/>
      <c r="D13" s="862"/>
      <c r="E13" s="54" t="b">
        <v>0</v>
      </c>
      <c r="F13" s="863"/>
    </row>
    <row r="14">
      <c r="A14" s="612"/>
      <c r="B14" s="612"/>
      <c r="C14" s="612"/>
      <c r="D14" s="612"/>
      <c r="E14" s="612"/>
      <c r="F14" s="612"/>
    </row>
    <row r="15">
      <c r="A15" s="612"/>
      <c r="B15" s="612"/>
      <c r="C15" s="612"/>
      <c r="D15" s="612"/>
      <c r="E15" s="612"/>
      <c r="F15" s="612"/>
    </row>
    <row r="16">
      <c r="A16" s="810"/>
      <c r="B16" s="810"/>
      <c r="C16" s="810"/>
      <c r="D16" s="810"/>
      <c r="E16" s="810"/>
      <c r="F16" s="810"/>
    </row>
    <row r="17">
      <c r="A17" s="610"/>
      <c r="B17" s="610"/>
      <c r="C17" s="610"/>
      <c r="D17" s="830"/>
      <c r="E17" s="610"/>
      <c r="F17" s="610"/>
    </row>
    <row r="18">
      <c r="A18" s="610"/>
      <c r="B18" s="610"/>
      <c r="C18" s="610"/>
      <c r="D18" s="830"/>
      <c r="E18" s="610"/>
      <c r="F18" s="610"/>
    </row>
    <row r="19">
      <c r="A19" s="610"/>
      <c r="B19" s="610"/>
      <c r="C19" s="610"/>
      <c r="D19" s="830"/>
      <c r="E19" s="610"/>
      <c r="F19" s="610"/>
    </row>
    <row r="20">
      <c r="A20" s="610"/>
      <c r="B20" s="610"/>
      <c r="C20" s="610"/>
      <c r="D20" s="830"/>
      <c r="E20" s="610"/>
      <c r="F20" s="610"/>
    </row>
    <row r="21">
      <c r="A21" s="610"/>
      <c r="B21" s="610"/>
      <c r="C21" s="610"/>
      <c r="D21" s="830"/>
      <c r="E21" s="610"/>
      <c r="F21" s="610"/>
    </row>
    <row r="22">
      <c r="A22" s="610"/>
      <c r="B22" s="610"/>
      <c r="C22" s="610"/>
      <c r="D22" s="610"/>
      <c r="E22" s="610"/>
      <c r="F22" s="610"/>
    </row>
    <row r="23">
      <c r="A23" s="610"/>
      <c r="B23" s="610"/>
      <c r="C23" s="610"/>
      <c r="D23" s="610"/>
      <c r="E23" s="610"/>
      <c r="F23" s="610"/>
    </row>
  </sheetData>
  <mergeCells count="1">
    <mergeCell ref="A1:F2"/>
  </mergeCells>
  <conditionalFormatting sqref="D4:D13">
    <cfRule type="containsText" dxfId="4" priority="1" operator="containsText" text="Between SP Kits">
      <formula>NOT(ISERROR(SEARCH(("Between SP Kits"),(D4))))</formula>
    </cfRule>
  </conditionalFormatting>
  <conditionalFormatting sqref="D4:D13">
    <cfRule type="containsText" dxfId="13" priority="2" operator="containsText" text="SP to ELC">
      <formula>NOT(ISERROR(SEARCH(("SP to ELC"),(D4))))</formula>
    </cfRule>
  </conditionalFormatting>
  <conditionalFormatting sqref="D4:D13">
    <cfRule type="containsText" dxfId="14" priority="3" operator="containsText" text="ELC to SP">
      <formula>NOT(ISERROR(SEARCH(("ELC to SP"),(D4))))</formula>
    </cfRule>
  </conditionalFormatting>
  <conditionalFormatting sqref="D4:D13">
    <cfRule type="containsText" dxfId="15" priority="4" operator="containsText" text="SP to External">
      <formula>NOT(ISERROR(SEARCH(("SP to External"),(D4))))</formula>
    </cfRule>
  </conditionalFormatting>
  <conditionalFormatting sqref="D4:D13">
    <cfRule type="containsText" dxfId="16" priority="5" operator="containsText" text="External to SP">
      <formula>NOT(ISERROR(SEARCH(("External to SP"),(D4))))</formula>
    </cfRule>
  </conditionalFormatting>
  <conditionalFormatting sqref="E4:E13">
    <cfRule type="containsText" dxfId="5" priority="6" operator="containsText" text="TRUE">
      <formula>NOT(ISERROR(SEARCH(("TRUE"),(E4))))</formula>
    </cfRule>
  </conditionalFormatting>
  <conditionalFormatting sqref="E4:E13">
    <cfRule type="containsText" dxfId="12" priority="7" operator="containsText" text="FALSE">
      <formula>NOT(ISERROR(SEARCH(("FALSE"),(E4))))</formula>
    </cfRule>
  </conditionalFormatting>
  <dataValidations>
    <dataValidation type="list" allowBlank="1" sqref="D4:D13">
      <formula1>"Between SP Kits,SP to ELC,ELC to SP,SP to External,External to SP"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55.88"/>
    <col customWidth="1" min="3" max="3" width="21.5"/>
    <col customWidth="1" min="4" max="7" width="18.88"/>
  </cols>
  <sheetData>
    <row r="1">
      <c r="A1" s="865"/>
      <c r="B1" s="866"/>
      <c r="C1" s="867" t="s">
        <v>1421</v>
      </c>
      <c r="D1" s="867" t="s">
        <v>1422</v>
      </c>
      <c r="E1" s="867" t="s">
        <v>1423</v>
      </c>
      <c r="F1" s="867" t="s">
        <v>1424</v>
      </c>
      <c r="G1" s="867" t="s">
        <v>1425</v>
      </c>
    </row>
    <row r="2">
      <c r="A2" s="868"/>
      <c r="B2" s="869" t="s">
        <v>1426</v>
      </c>
      <c r="C2" s="870" t="s">
        <v>1427</v>
      </c>
      <c r="D2" s="870" t="s">
        <v>799</v>
      </c>
      <c r="E2" s="870" t="s">
        <v>804</v>
      </c>
      <c r="F2" s="870" t="s">
        <v>809</v>
      </c>
      <c r="G2" s="870" t="s">
        <v>814</v>
      </c>
    </row>
    <row r="3">
      <c r="A3" s="871">
        <v>1.0</v>
      </c>
      <c r="B3" s="872" t="s">
        <v>1428</v>
      </c>
      <c r="C3" s="873" t="b">
        <v>1</v>
      </c>
      <c r="D3" s="873" t="b">
        <v>1</v>
      </c>
      <c r="E3" s="873" t="b">
        <v>1</v>
      </c>
      <c r="F3" s="873" t="b">
        <v>1</v>
      </c>
      <c r="G3" s="873" t="b">
        <v>1</v>
      </c>
    </row>
    <row r="4">
      <c r="A4" s="871">
        <v>1.0</v>
      </c>
      <c r="B4" s="874" t="s">
        <v>1429</v>
      </c>
      <c r="C4" s="873" t="b">
        <v>1</v>
      </c>
      <c r="D4" s="873" t="b">
        <v>1</v>
      </c>
      <c r="E4" s="873" t="b">
        <v>1</v>
      </c>
      <c r="F4" s="873" t="b">
        <v>1</v>
      </c>
      <c r="G4" s="873" t="b">
        <v>1</v>
      </c>
    </row>
    <row r="5">
      <c r="A5" s="871">
        <v>1.0</v>
      </c>
      <c r="B5" s="874" t="s">
        <v>1430</v>
      </c>
      <c r="C5" s="873" t="b">
        <v>1</v>
      </c>
      <c r="D5" s="873" t="b">
        <v>1</v>
      </c>
      <c r="E5" s="873" t="b">
        <v>1</v>
      </c>
      <c r="F5" s="873" t="b">
        <v>1</v>
      </c>
      <c r="G5" s="873" t="b">
        <v>1</v>
      </c>
    </row>
    <row r="6">
      <c r="A6" s="875">
        <v>1.0</v>
      </c>
      <c r="B6" s="874" t="s">
        <v>1431</v>
      </c>
      <c r="C6" s="873" t="b">
        <v>1</v>
      </c>
      <c r="D6" s="873" t="b">
        <v>1</v>
      </c>
      <c r="E6" s="873" t="b">
        <v>0</v>
      </c>
      <c r="F6" s="873" t="b">
        <v>1</v>
      </c>
      <c r="G6" s="873" t="b">
        <v>1</v>
      </c>
    </row>
    <row r="7">
      <c r="A7" s="871">
        <v>3.0</v>
      </c>
      <c r="B7" s="874" t="s">
        <v>1432</v>
      </c>
      <c r="C7" s="873" t="b">
        <v>1</v>
      </c>
      <c r="D7" s="873" t="b">
        <v>1</v>
      </c>
      <c r="E7" s="873" t="b">
        <v>1</v>
      </c>
      <c r="F7" s="873" t="b">
        <v>1</v>
      </c>
      <c r="G7" s="873" t="b">
        <v>1</v>
      </c>
    </row>
    <row r="8">
      <c r="A8" s="871">
        <v>4.0</v>
      </c>
      <c r="B8" s="876" t="s">
        <v>1433</v>
      </c>
      <c r="C8" s="873" t="b">
        <v>1</v>
      </c>
      <c r="D8" s="873" t="b">
        <v>1</v>
      </c>
      <c r="E8" s="873" t="b">
        <v>1</v>
      </c>
      <c r="F8" s="873" t="b">
        <v>1</v>
      </c>
      <c r="G8" s="873" t="b">
        <v>1</v>
      </c>
    </row>
    <row r="9">
      <c r="A9" s="875">
        <v>4.0</v>
      </c>
      <c r="B9" s="876" t="s">
        <v>1434</v>
      </c>
      <c r="C9" s="873" t="b">
        <v>1</v>
      </c>
      <c r="D9" s="873" t="b">
        <v>1</v>
      </c>
      <c r="E9" s="873" t="b">
        <v>1</v>
      </c>
      <c r="F9" s="873" t="b">
        <v>1</v>
      </c>
      <c r="G9" s="873" t="b">
        <v>1</v>
      </c>
    </row>
    <row r="10">
      <c r="A10" s="875">
        <v>1.0</v>
      </c>
      <c r="B10" s="876" t="s">
        <v>1435</v>
      </c>
      <c r="C10" s="873" t="b">
        <v>1</v>
      </c>
      <c r="D10" s="873" t="b">
        <v>1</v>
      </c>
      <c r="E10" s="873" t="b">
        <v>1</v>
      </c>
      <c r="F10" s="873" t="b">
        <v>1</v>
      </c>
      <c r="G10" s="873" t="b">
        <v>1</v>
      </c>
    </row>
    <row r="11">
      <c r="A11" s="875">
        <v>2.0</v>
      </c>
      <c r="B11" s="876" t="s">
        <v>1436</v>
      </c>
      <c r="C11" s="873" t="b">
        <v>1</v>
      </c>
      <c r="D11" s="873" t="b">
        <v>1</v>
      </c>
      <c r="E11" s="873" t="b">
        <v>1</v>
      </c>
      <c r="F11" s="873" t="b">
        <v>1</v>
      </c>
      <c r="G11" s="873" t="b">
        <v>1</v>
      </c>
    </row>
    <row r="12">
      <c r="A12" s="877">
        <v>3.0</v>
      </c>
      <c r="B12" s="878" t="s">
        <v>1437</v>
      </c>
      <c r="C12" s="879" t="b">
        <v>1</v>
      </c>
      <c r="D12" s="879" t="b">
        <v>1</v>
      </c>
      <c r="E12" s="879" t="b">
        <v>1</v>
      </c>
      <c r="F12" s="879" t="b">
        <v>1</v>
      </c>
      <c r="G12" s="879" t="b">
        <v>1</v>
      </c>
    </row>
    <row r="13">
      <c r="A13" s="880"/>
      <c r="B13" s="881" t="s">
        <v>1438</v>
      </c>
      <c r="C13" s="882" t="s">
        <v>1427</v>
      </c>
      <c r="D13" s="882" t="s">
        <v>799</v>
      </c>
      <c r="E13" s="882" t="s">
        <v>804</v>
      </c>
      <c r="F13" s="882" t="s">
        <v>809</v>
      </c>
      <c r="G13" s="882" t="s">
        <v>814</v>
      </c>
    </row>
    <row r="14">
      <c r="A14" s="871">
        <v>1.0</v>
      </c>
      <c r="B14" s="883" t="s">
        <v>1439</v>
      </c>
      <c r="C14" s="873" t="b">
        <v>1</v>
      </c>
      <c r="D14" s="873" t="b">
        <v>1</v>
      </c>
      <c r="E14" s="873" t="b">
        <v>1</v>
      </c>
      <c r="F14" s="873" t="b">
        <v>1</v>
      </c>
      <c r="G14" s="873" t="b">
        <v>1</v>
      </c>
    </row>
    <row r="15">
      <c r="A15" s="871">
        <v>1.0</v>
      </c>
      <c r="B15" s="883" t="s">
        <v>1439</v>
      </c>
      <c r="C15" s="873" t="b">
        <v>1</v>
      </c>
      <c r="D15" s="873" t="b">
        <v>1</v>
      </c>
      <c r="E15" s="873" t="b">
        <v>1</v>
      </c>
      <c r="F15" s="873" t="b">
        <v>1</v>
      </c>
      <c r="G15" s="873" t="b">
        <v>1</v>
      </c>
    </row>
    <row r="16">
      <c r="A16" s="871">
        <v>1.0</v>
      </c>
      <c r="B16" s="876" t="s">
        <v>1440</v>
      </c>
      <c r="C16" s="873" t="b">
        <v>1</v>
      </c>
      <c r="D16" s="873" t="b">
        <v>1</v>
      </c>
      <c r="E16" s="873" t="b">
        <v>1</v>
      </c>
      <c r="F16" s="873" t="b">
        <v>1</v>
      </c>
      <c r="G16" s="873" t="b">
        <v>1</v>
      </c>
    </row>
    <row r="17">
      <c r="A17" s="871">
        <v>1.0</v>
      </c>
      <c r="B17" s="876" t="s">
        <v>1441</v>
      </c>
      <c r="C17" s="873" t="b">
        <v>1</v>
      </c>
      <c r="D17" s="873" t="b">
        <v>1</v>
      </c>
      <c r="E17" s="873" t="b">
        <v>1</v>
      </c>
      <c r="F17" s="873" t="b">
        <v>1</v>
      </c>
      <c r="G17" s="873" t="b">
        <v>1</v>
      </c>
    </row>
    <row r="18">
      <c r="A18" s="871">
        <v>1.0</v>
      </c>
      <c r="B18" s="876" t="s">
        <v>1442</v>
      </c>
      <c r="C18" s="873" t="b">
        <v>1</v>
      </c>
      <c r="D18" s="873" t="b">
        <v>1</v>
      </c>
      <c r="E18" s="873" t="b">
        <v>1</v>
      </c>
      <c r="F18" s="873" t="b">
        <v>1</v>
      </c>
      <c r="G18" s="873" t="b">
        <v>1</v>
      </c>
    </row>
    <row r="19">
      <c r="A19" s="884">
        <v>1.0</v>
      </c>
      <c r="B19" s="876" t="s">
        <v>1443</v>
      </c>
      <c r="C19" s="873" t="b">
        <v>1</v>
      </c>
      <c r="D19" s="873" t="b">
        <v>1</v>
      </c>
      <c r="E19" s="873" t="b">
        <v>1</v>
      </c>
      <c r="F19" s="873" t="b">
        <v>1</v>
      </c>
      <c r="G19" s="873" t="b">
        <v>1</v>
      </c>
    </row>
    <row r="20">
      <c r="A20" s="871">
        <v>2.0</v>
      </c>
      <c r="B20" s="876" t="s">
        <v>1444</v>
      </c>
      <c r="C20" s="873" t="b">
        <v>1</v>
      </c>
      <c r="D20" s="873" t="b">
        <v>1</v>
      </c>
      <c r="E20" s="873" t="b">
        <v>1</v>
      </c>
      <c r="F20" s="873" t="b">
        <v>1</v>
      </c>
      <c r="G20" s="873" t="b">
        <v>1</v>
      </c>
    </row>
    <row r="21">
      <c r="A21" s="871">
        <v>2.0</v>
      </c>
      <c r="B21" s="876" t="s">
        <v>1445</v>
      </c>
      <c r="C21" s="873" t="b">
        <v>1</v>
      </c>
      <c r="D21" s="873" t="b">
        <v>1</v>
      </c>
      <c r="E21" s="885" t="b">
        <v>0</v>
      </c>
      <c r="F21" s="873" t="b">
        <v>1</v>
      </c>
      <c r="G21" s="873" t="b">
        <v>1</v>
      </c>
    </row>
    <row r="22">
      <c r="A22" s="884">
        <v>3.0</v>
      </c>
      <c r="B22" s="876" t="s">
        <v>1446</v>
      </c>
      <c r="C22" s="873" t="b">
        <v>1</v>
      </c>
      <c r="D22" s="873" t="b">
        <v>1</v>
      </c>
      <c r="E22" s="873" t="b">
        <v>1</v>
      </c>
      <c r="F22" s="873" t="b">
        <v>1</v>
      </c>
      <c r="G22" s="873" t="b">
        <v>1</v>
      </c>
    </row>
    <row r="23">
      <c r="A23" s="884">
        <v>1.0</v>
      </c>
      <c r="B23" s="876" t="s">
        <v>1447</v>
      </c>
      <c r="C23" s="873" t="b">
        <v>1</v>
      </c>
      <c r="D23" s="873" t="b">
        <v>1</v>
      </c>
      <c r="E23" s="873" t="b">
        <v>1</v>
      </c>
      <c r="F23" s="873" t="b">
        <v>1</v>
      </c>
      <c r="G23" s="873" t="b">
        <v>1</v>
      </c>
    </row>
    <row r="24">
      <c r="A24" s="871">
        <v>2.0</v>
      </c>
      <c r="B24" s="876" t="s">
        <v>1448</v>
      </c>
      <c r="C24" s="873" t="b">
        <v>1</v>
      </c>
      <c r="D24" s="873" t="b">
        <v>1</v>
      </c>
      <c r="E24" s="885" t="b">
        <v>0</v>
      </c>
      <c r="F24" s="873" t="b">
        <v>1</v>
      </c>
      <c r="G24" s="873" t="b">
        <v>1</v>
      </c>
    </row>
    <row r="25">
      <c r="A25" s="871">
        <v>2.0</v>
      </c>
      <c r="B25" s="876" t="s">
        <v>1449</v>
      </c>
      <c r="C25" s="873" t="b">
        <v>1</v>
      </c>
      <c r="D25" s="873" t="b">
        <v>1</v>
      </c>
      <c r="E25" s="885" t="b">
        <v>0</v>
      </c>
      <c r="F25" s="885" t="b">
        <v>0</v>
      </c>
      <c r="G25" s="873" t="b">
        <v>1</v>
      </c>
    </row>
    <row r="26">
      <c r="A26" s="884">
        <v>3.0</v>
      </c>
      <c r="B26" s="876" t="s">
        <v>1450</v>
      </c>
      <c r="C26" s="873" t="b">
        <v>1</v>
      </c>
      <c r="D26" s="873" t="b">
        <v>1</v>
      </c>
      <c r="E26" s="873" t="b">
        <v>1</v>
      </c>
      <c r="F26" s="873" t="b">
        <v>1</v>
      </c>
      <c r="G26" s="873" t="b">
        <v>1</v>
      </c>
    </row>
    <row r="27">
      <c r="A27" s="884">
        <v>1.0</v>
      </c>
      <c r="B27" s="876" t="s">
        <v>1451</v>
      </c>
      <c r="C27" s="873" t="b">
        <v>1</v>
      </c>
      <c r="D27" s="873" t="b">
        <v>1</v>
      </c>
      <c r="E27" s="873" t="b">
        <v>1</v>
      </c>
      <c r="F27" s="873" t="b">
        <v>1</v>
      </c>
      <c r="G27" s="873" t="b">
        <v>1</v>
      </c>
    </row>
    <row r="28">
      <c r="A28" s="871">
        <v>1.0</v>
      </c>
      <c r="B28" s="876" t="s">
        <v>1452</v>
      </c>
      <c r="C28" s="873" t="b">
        <v>1</v>
      </c>
      <c r="D28" s="873" t="b">
        <v>1</v>
      </c>
      <c r="E28" s="885" t="b">
        <v>0</v>
      </c>
      <c r="F28" s="885" t="b">
        <v>0</v>
      </c>
      <c r="G28" s="873" t="b">
        <v>1</v>
      </c>
    </row>
    <row r="29">
      <c r="A29" s="871">
        <v>1.0</v>
      </c>
      <c r="B29" s="876" t="s">
        <v>1453</v>
      </c>
      <c r="C29" s="873" t="b">
        <v>1</v>
      </c>
      <c r="D29" s="873" t="b">
        <v>1</v>
      </c>
      <c r="E29" s="873" t="b">
        <v>1</v>
      </c>
      <c r="F29" s="873" t="b">
        <v>1</v>
      </c>
      <c r="G29" s="873" t="b">
        <v>1</v>
      </c>
    </row>
    <row r="30">
      <c r="A30" s="884">
        <v>1.0</v>
      </c>
      <c r="B30" s="886" t="s">
        <v>1454</v>
      </c>
      <c r="C30" s="873" t="b">
        <v>1</v>
      </c>
      <c r="D30" s="873" t="b">
        <v>1</v>
      </c>
      <c r="E30" s="873" t="b">
        <v>1</v>
      </c>
      <c r="F30" s="873" t="b">
        <v>1</v>
      </c>
      <c r="G30" s="873" t="b">
        <v>1</v>
      </c>
    </row>
    <row r="31">
      <c r="A31" s="871">
        <v>4.0</v>
      </c>
      <c r="B31" s="887" t="s">
        <v>1455</v>
      </c>
      <c r="C31" s="873" t="b">
        <v>1</v>
      </c>
      <c r="D31" s="873" t="b">
        <v>1</v>
      </c>
      <c r="E31" s="873" t="b">
        <v>1</v>
      </c>
      <c r="F31" s="873" t="b">
        <v>1</v>
      </c>
      <c r="G31" s="873" t="b">
        <v>1</v>
      </c>
    </row>
    <row r="32">
      <c r="A32" s="884">
        <v>1.0</v>
      </c>
      <c r="B32" s="883" t="s">
        <v>1456</v>
      </c>
      <c r="C32" s="873" t="b">
        <v>1</v>
      </c>
      <c r="D32" s="873" t="b">
        <v>1</v>
      </c>
      <c r="E32" s="873" t="b">
        <v>1</v>
      </c>
      <c r="F32" s="873" t="b">
        <v>1</v>
      </c>
      <c r="G32" s="873" t="b">
        <v>1</v>
      </c>
    </row>
    <row r="33">
      <c r="A33" s="871">
        <v>3.0</v>
      </c>
      <c r="B33" s="883" t="s">
        <v>1457</v>
      </c>
      <c r="C33" s="873" t="b">
        <v>1</v>
      </c>
      <c r="D33" s="873" t="b">
        <v>1</v>
      </c>
      <c r="E33" s="873" t="b">
        <v>1</v>
      </c>
      <c r="F33" s="873" t="b">
        <v>1</v>
      </c>
      <c r="G33" s="873" t="b">
        <v>1</v>
      </c>
    </row>
    <row r="34">
      <c r="A34" s="875">
        <v>3.0</v>
      </c>
      <c r="B34" s="883" t="s">
        <v>1458</v>
      </c>
      <c r="C34" s="873" t="b">
        <v>1</v>
      </c>
      <c r="D34" s="873" t="b">
        <v>1</v>
      </c>
      <c r="E34" s="873" t="b">
        <v>1</v>
      </c>
      <c r="F34" s="873" t="b">
        <v>1</v>
      </c>
      <c r="G34" s="873" t="b">
        <v>1</v>
      </c>
    </row>
    <row r="35">
      <c r="A35" s="875">
        <v>1.0</v>
      </c>
      <c r="B35" s="888" t="s">
        <v>1459</v>
      </c>
      <c r="C35" s="873" t="b">
        <v>1</v>
      </c>
      <c r="D35" s="873" t="b">
        <v>1</v>
      </c>
      <c r="E35" s="873" t="b">
        <v>1</v>
      </c>
      <c r="F35" s="873" t="b">
        <v>1</v>
      </c>
      <c r="G35" s="873" t="b">
        <v>1</v>
      </c>
    </row>
    <row r="36">
      <c r="A36" s="875">
        <v>1.0</v>
      </c>
      <c r="B36" s="888" t="s">
        <v>1460</v>
      </c>
      <c r="C36" s="873" t="b">
        <v>1</v>
      </c>
      <c r="D36" s="873" t="b">
        <v>1</v>
      </c>
      <c r="E36" s="873" t="b">
        <v>1</v>
      </c>
      <c r="F36" s="873" t="b">
        <v>1</v>
      </c>
      <c r="G36" s="873" t="b">
        <v>1</v>
      </c>
    </row>
    <row r="37">
      <c r="A37" s="875">
        <v>1.0</v>
      </c>
      <c r="B37" s="889" t="s">
        <v>1461</v>
      </c>
      <c r="C37" s="873" t="b">
        <v>1</v>
      </c>
      <c r="D37" s="873" t="b">
        <v>1</v>
      </c>
      <c r="E37" s="873" t="b">
        <v>1</v>
      </c>
      <c r="F37" s="873" t="b">
        <v>1</v>
      </c>
      <c r="G37" s="873" t="b">
        <v>1</v>
      </c>
    </row>
    <row r="38">
      <c r="A38" s="875">
        <v>1.0</v>
      </c>
      <c r="B38" s="890" t="s">
        <v>1462</v>
      </c>
      <c r="C38" s="873" t="b">
        <v>1</v>
      </c>
      <c r="D38" s="873" t="b">
        <v>1</v>
      </c>
      <c r="E38" s="873" t="b">
        <v>1</v>
      </c>
      <c r="F38" s="873" t="b">
        <v>1</v>
      </c>
      <c r="G38" s="873" t="b">
        <v>1</v>
      </c>
    </row>
    <row r="39">
      <c r="A39" s="884">
        <v>2.0</v>
      </c>
      <c r="B39" s="891" t="s">
        <v>1463</v>
      </c>
      <c r="C39" s="885" t="b">
        <v>0</v>
      </c>
      <c r="D39" s="873" t="b">
        <v>0</v>
      </c>
      <c r="E39" s="873" t="b">
        <v>1</v>
      </c>
      <c r="F39" s="873" t="b">
        <v>1</v>
      </c>
      <c r="G39" s="873" t="b">
        <v>1</v>
      </c>
    </row>
    <row r="40">
      <c r="A40" s="892">
        <v>1.0</v>
      </c>
      <c r="B40" s="893" t="s">
        <v>1464</v>
      </c>
      <c r="C40" s="873" t="b">
        <v>1</v>
      </c>
      <c r="D40" s="873" t="b">
        <v>1</v>
      </c>
      <c r="E40" s="873" t="b">
        <v>1</v>
      </c>
      <c r="F40" s="873" t="b">
        <v>1</v>
      </c>
      <c r="G40" s="873" t="b">
        <v>1</v>
      </c>
    </row>
    <row r="41">
      <c r="A41" s="892">
        <v>5.0</v>
      </c>
      <c r="B41" s="893" t="s">
        <v>1465</v>
      </c>
      <c r="C41" s="873" t="b">
        <v>1</v>
      </c>
      <c r="D41" s="873" t="b">
        <v>1</v>
      </c>
      <c r="E41" s="873" t="b">
        <v>1</v>
      </c>
      <c r="F41" s="873" t="b">
        <v>0</v>
      </c>
      <c r="G41" s="873" t="b">
        <v>1</v>
      </c>
    </row>
    <row r="42">
      <c r="A42" s="892">
        <v>1.0</v>
      </c>
      <c r="B42" s="893" t="s">
        <v>1466</v>
      </c>
      <c r="C42" s="873" t="b">
        <v>1</v>
      </c>
      <c r="D42" s="873" t="b">
        <v>1</v>
      </c>
      <c r="E42" s="873" t="b">
        <v>1</v>
      </c>
      <c r="F42" s="873" t="b">
        <v>1</v>
      </c>
      <c r="G42" s="873" t="b">
        <v>1</v>
      </c>
    </row>
    <row r="43">
      <c r="A43" s="892">
        <v>2.0</v>
      </c>
      <c r="B43" s="893" t="s">
        <v>1467</v>
      </c>
      <c r="C43" s="873" t="b">
        <v>1</v>
      </c>
      <c r="D43" s="873" t="b">
        <v>1</v>
      </c>
      <c r="E43" s="873" t="b">
        <v>1</v>
      </c>
      <c r="F43" s="873" t="b">
        <v>1</v>
      </c>
      <c r="G43" s="873" t="b">
        <v>1</v>
      </c>
    </row>
    <row r="44">
      <c r="A44" s="894">
        <v>2.0</v>
      </c>
      <c r="B44" s="893" t="s">
        <v>1468</v>
      </c>
      <c r="C44" s="873" t="b">
        <v>1</v>
      </c>
      <c r="D44" s="873" t="b">
        <v>1</v>
      </c>
      <c r="E44" s="873" t="b">
        <v>1</v>
      </c>
      <c r="F44" s="873" t="b">
        <v>1</v>
      </c>
      <c r="G44" s="873" t="b">
        <v>1</v>
      </c>
    </row>
    <row r="45">
      <c r="A45" s="892">
        <v>3.0</v>
      </c>
      <c r="B45" s="893" t="s">
        <v>1469</v>
      </c>
      <c r="C45" s="873" t="b">
        <v>1</v>
      </c>
      <c r="D45" s="873" t="b">
        <v>1</v>
      </c>
      <c r="E45" s="873" t="b">
        <v>1</v>
      </c>
      <c r="F45" s="873" t="b">
        <v>1</v>
      </c>
      <c r="G45" s="873" t="b">
        <v>1</v>
      </c>
    </row>
    <row r="46">
      <c r="A46" s="892">
        <v>1.0</v>
      </c>
      <c r="B46" s="893" t="s">
        <v>1470</v>
      </c>
      <c r="C46" s="873" t="b">
        <v>1</v>
      </c>
      <c r="D46" s="873" t="b">
        <v>1</v>
      </c>
      <c r="E46" s="873" t="b">
        <v>1</v>
      </c>
      <c r="F46" s="873" t="b">
        <v>1</v>
      </c>
      <c r="G46" s="873" t="b">
        <v>1</v>
      </c>
    </row>
    <row r="47">
      <c r="A47" s="892">
        <v>1.0</v>
      </c>
      <c r="B47" s="893" t="s">
        <v>1471</v>
      </c>
      <c r="C47" s="873" t="b">
        <v>1</v>
      </c>
      <c r="D47" s="873" t="b">
        <v>1</v>
      </c>
      <c r="E47" s="873" t="b">
        <v>1</v>
      </c>
      <c r="F47" s="873" t="b">
        <v>1</v>
      </c>
      <c r="G47" s="873" t="b">
        <v>1</v>
      </c>
    </row>
    <row r="48">
      <c r="A48" s="892">
        <v>1.0</v>
      </c>
      <c r="B48" s="893" t="s">
        <v>1472</v>
      </c>
      <c r="C48" s="873" t="b">
        <v>1</v>
      </c>
      <c r="D48" s="873" t="b">
        <v>1</v>
      </c>
      <c r="E48" s="873" t="b">
        <v>1</v>
      </c>
      <c r="F48" s="873" t="b">
        <v>1</v>
      </c>
      <c r="G48" s="873" t="b">
        <v>1</v>
      </c>
    </row>
    <row r="49">
      <c r="A49" s="892">
        <v>1.0</v>
      </c>
      <c r="B49" s="893" t="s">
        <v>1473</v>
      </c>
      <c r="C49" s="873" t="b">
        <v>1</v>
      </c>
      <c r="D49" s="873" t="b">
        <v>1</v>
      </c>
      <c r="E49" s="873" t="b">
        <v>1</v>
      </c>
      <c r="F49" s="873" t="b">
        <v>1</v>
      </c>
      <c r="G49" s="873" t="b">
        <v>1</v>
      </c>
    </row>
    <row r="50">
      <c r="A50" s="892">
        <v>1.0</v>
      </c>
      <c r="B50" s="893" t="s">
        <v>1474</v>
      </c>
      <c r="C50" s="873" t="b">
        <v>1</v>
      </c>
      <c r="D50" s="873" t="b">
        <v>1</v>
      </c>
      <c r="E50" s="873" t="b">
        <v>1</v>
      </c>
      <c r="F50" s="873" t="b">
        <v>1</v>
      </c>
      <c r="G50" s="873" t="b">
        <v>1</v>
      </c>
    </row>
    <row r="51">
      <c r="A51" s="895"/>
      <c r="B51" s="896" t="s">
        <v>1475</v>
      </c>
      <c r="C51" s="897" t="s">
        <v>1427</v>
      </c>
      <c r="D51" s="897" t="s">
        <v>799</v>
      </c>
      <c r="E51" s="897" t="s">
        <v>804</v>
      </c>
      <c r="F51" s="897" t="s">
        <v>809</v>
      </c>
      <c r="G51" s="897" t="s">
        <v>814</v>
      </c>
    </row>
    <row r="52">
      <c r="A52" s="875">
        <v>2.0</v>
      </c>
      <c r="B52" s="888" t="s">
        <v>1476</v>
      </c>
      <c r="C52" s="873" t="b">
        <v>1</v>
      </c>
      <c r="D52" s="873" t="b">
        <v>1</v>
      </c>
      <c r="E52" s="873" t="b">
        <v>1</v>
      </c>
      <c r="F52" s="873" t="b">
        <v>1</v>
      </c>
      <c r="G52" s="873" t="b">
        <v>1</v>
      </c>
    </row>
    <row r="53">
      <c r="A53" s="875">
        <v>2.0</v>
      </c>
      <c r="B53" s="888" t="s">
        <v>1477</v>
      </c>
      <c r="C53" s="873" t="b">
        <v>1</v>
      </c>
      <c r="D53" s="873" t="b">
        <v>1</v>
      </c>
      <c r="E53" s="873" t="b">
        <v>1</v>
      </c>
      <c r="F53" s="873" t="b">
        <v>1</v>
      </c>
      <c r="G53" s="873" t="b">
        <v>1</v>
      </c>
    </row>
    <row r="54">
      <c r="A54" s="871">
        <v>1.0</v>
      </c>
      <c r="B54" s="886" t="s">
        <v>1478</v>
      </c>
      <c r="C54" s="873" t="b">
        <v>1</v>
      </c>
      <c r="D54" s="873" t="b">
        <v>1</v>
      </c>
      <c r="E54" s="873" t="b">
        <v>1</v>
      </c>
      <c r="F54" s="873" t="b">
        <v>1</v>
      </c>
      <c r="G54" s="873" t="b">
        <v>1</v>
      </c>
    </row>
    <row r="55">
      <c r="A55" s="875">
        <v>1.0</v>
      </c>
      <c r="B55" s="888" t="s">
        <v>1479</v>
      </c>
      <c r="C55" s="873" t="b">
        <v>1</v>
      </c>
      <c r="D55" s="873" t="b">
        <v>1</v>
      </c>
      <c r="E55" s="873" t="b">
        <v>1</v>
      </c>
      <c r="F55" s="873" t="b">
        <v>1</v>
      </c>
      <c r="G55" s="873" t="b">
        <v>1</v>
      </c>
    </row>
    <row r="56">
      <c r="A56" s="875">
        <v>1.0</v>
      </c>
      <c r="B56" s="888" t="s">
        <v>1480</v>
      </c>
      <c r="C56" s="873" t="b">
        <v>1</v>
      </c>
      <c r="D56" s="873" t="b">
        <v>1</v>
      </c>
      <c r="E56" s="873" t="b">
        <v>1</v>
      </c>
      <c r="F56" s="873" t="b">
        <v>1</v>
      </c>
      <c r="G56" s="873" t="b">
        <v>1</v>
      </c>
    </row>
    <row r="57">
      <c r="A57" s="871">
        <v>1.0</v>
      </c>
      <c r="B57" s="886" t="s">
        <v>1481</v>
      </c>
      <c r="C57" s="873" t="b">
        <v>1</v>
      </c>
      <c r="D57" s="873" t="b">
        <v>1</v>
      </c>
      <c r="E57" s="873" t="b">
        <v>1</v>
      </c>
      <c r="F57" s="873" t="b">
        <v>1</v>
      </c>
      <c r="G57" s="873" t="b">
        <v>1</v>
      </c>
    </row>
    <row r="58">
      <c r="A58" s="875">
        <v>2.0</v>
      </c>
      <c r="B58" s="888" t="s">
        <v>1482</v>
      </c>
      <c r="C58" s="873" t="b">
        <v>1</v>
      </c>
      <c r="D58" s="873" t="b">
        <v>1</v>
      </c>
      <c r="E58" s="873" t="b">
        <v>1</v>
      </c>
      <c r="F58" s="873" t="b">
        <v>1</v>
      </c>
      <c r="G58" s="873" t="b">
        <v>1</v>
      </c>
    </row>
    <row r="59">
      <c r="A59" s="875">
        <v>2.0</v>
      </c>
      <c r="B59" s="888" t="s">
        <v>1483</v>
      </c>
      <c r="C59" s="873" t="b">
        <v>1</v>
      </c>
      <c r="D59" s="873" t="b">
        <v>1</v>
      </c>
      <c r="E59" s="873" t="b">
        <v>1</v>
      </c>
      <c r="F59" s="873" t="b">
        <v>1</v>
      </c>
      <c r="G59" s="873" t="b">
        <v>1</v>
      </c>
    </row>
    <row r="60">
      <c r="A60" s="888"/>
      <c r="B60" s="888"/>
      <c r="C60" s="888"/>
      <c r="D60" s="888"/>
      <c r="E60" s="888"/>
      <c r="F60" s="888"/>
      <c r="G60" s="888"/>
    </row>
    <row r="61">
      <c r="A61" s="888"/>
      <c r="B61" s="888"/>
      <c r="C61" s="888"/>
      <c r="D61" s="888"/>
      <c r="E61" s="888"/>
      <c r="F61" s="888"/>
      <c r="G61" s="888"/>
    </row>
    <row r="62">
      <c r="A62" s="888"/>
      <c r="B62" s="888"/>
      <c r="C62" s="888"/>
      <c r="D62" s="888"/>
      <c r="E62" s="888"/>
      <c r="F62" s="888"/>
      <c r="G62" s="888"/>
    </row>
    <row r="63">
      <c r="A63" s="888"/>
      <c r="B63" s="888"/>
      <c r="C63" s="888"/>
      <c r="D63" s="888"/>
      <c r="E63" s="888"/>
      <c r="F63" s="888"/>
      <c r="G63" s="888"/>
    </row>
    <row r="64">
      <c r="A64" s="888"/>
      <c r="B64" s="888"/>
      <c r="C64" s="888"/>
      <c r="D64" s="888"/>
      <c r="E64" s="888"/>
      <c r="F64" s="888"/>
      <c r="G64" s="888"/>
    </row>
    <row r="65">
      <c r="A65" s="888"/>
      <c r="B65" s="888"/>
      <c r="C65" s="888"/>
      <c r="D65" s="888"/>
      <c r="E65" s="888"/>
      <c r="F65" s="888"/>
      <c r="G65" s="888"/>
    </row>
    <row r="66">
      <c r="A66" s="888"/>
      <c r="B66" s="888"/>
      <c r="C66" s="888"/>
      <c r="D66" s="888"/>
      <c r="E66" s="888"/>
      <c r="F66" s="888"/>
      <c r="G66" s="888"/>
    </row>
    <row r="67">
      <c r="A67" s="888"/>
      <c r="B67" s="888"/>
      <c r="C67" s="888"/>
      <c r="D67" s="888"/>
      <c r="E67" s="888"/>
      <c r="F67" s="888"/>
      <c r="G67" s="888"/>
    </row>
    <row r="68">
      <c r="A68" s="888"/>
      <c r="B68" s="888"/>
      <c r="C68" s="888"/>
      <c r="D68" s="888"/>
      <c r="E68" s="888"/>
      <c r="F68" s="888"/>
      <c r="G68" s="888"/>
    </row>
    <row r="69">
      <c r="A69" s="888"/>
      <c r="B69" s="888"/>
      <c r="C69" s="888"/>
      <c r="D69" s="888"/>
      <c r="E69" s="888"/>
      <c r="F69" s="888"/>
      <c r="G69" s="888"/>
    </row>
    <row r="70">
      <c r="A70" s="888"/>
      <c r="B70" s="888"/>
      <c r="C70" s="888"/>
      <c r="D70" s="888"/>
      <c r="E70" s="888"/>
      <c r="F70" s="888"/>
      <c r="G70" s="888"/>
    </row>
    <row r="71">
      <c r="A71" s="888"/>
      <c r="B71" s="888"/>
      <c r="C71" s="888"/>
      <c r="D71" s="888"/>
      <c r="E71" s="888"/>
      <c r="F71" s="888"/>
      <c r="G71" s="888"/>
    </row>
    <row r="72">
      <c r="A72" s="888"/>
      <c r="B72" s="888"/>
      <c r="C72" s="888"/>
      <c r="D72" s="888"/>
      <c r="E72" s="888"/>
      <c r="F72" s="888"/>
      <c r="G72" s="888"/>
    </row>
    <row r="73">
      <c r="A73" s="888"/>
      <c r="B73" s="888"/>
      <c r="C73" s="888"/>
      <c r="D73" s="888"/>
      <c r="E73" s="888"/>
      <c r="F73" s="888"/>
      <c r="G73" s="888"/>
    </row>
    <row r="74">
      <c r="A74" s="888"/>
      <c r="B74" s="888"/>
      <c r="C74" s="888"/>
      <c r="D74" s="888"/>
      <c r="E74" s="888"/>
      <c r="F74" s="888"/>
      <c r="G74" s="888"/>
    </row>
    <row r="75">
      <c r="A75" s="888"/>
      <c r="B75" s="888"/>
      <c r="C75" s="888"/>
      <c r="D75" s="888"/>
      <c r="E75" s="888"/>
      <c r="F75" s="888"/>
      <c r="G75" s="888"/>
    </row>
    <row r="76">
      <c r="A76" s="888"/>
      <c r="B76" s="888"/>
      <c r="C76" s="888"/>
      <c r="D76" s="888"/>
      <c r="E76" s="888"/>
      <c r="F76" s="888"/>
      <c r="G76" s="888"/>
    </row>
    <row r="77">
      <c r="A77" s="888"/>
      <c r="B77" s="888"/>
      <c r="C77" s="888"/>
      <c r="D77" s="888"/>
      <c r="E77" s="888"/>
      <c r="F77" s="888"/>
      <c r="G77" s="888"/>
    </row>
    <row r="78">
      <c r="A78" s="888"/>
      <c r="B78" s="888"/>
      <c r="C78" s="888"/>
      <c r="D78" s="888"/>
      <c r="E78" s="888"/>
      <c r="F78" s="888"/>
      <c r="G78" s="888"/>
    </row>
    <row r="79">
      <c r="A79" s="888"/>
      <c r="B79" s="888"/>
      <c r="C79" s="888"/>
      <c r="D79" s="888"/>
      <c r="E79" s="888"/>
      <c r="F79" s="888"/>
      <c r="G79" s="888"/>
    </row>
    <row r="80">
      <c r="A80" s="888"/>
      <c r="B80" s="888"/>
      <c r="C80" s="888"/>
      <c r="D80" s="888"/>
      <c r="E80" s="888"/>
      <c r="F80" s="888"/>
      <c r="G80" s="888"/>
    </row>
    <row r="81">
      <c r="A81" s="888"/>
      <c r="B81" s="888"/>
      <c r="C81" s="888"/>
      <c r="D81" s="888"/>
      <c r="E81" s="888"/>
      <c r="F81" s="888"/>
      <c r="G81" s="888"/>
    </row>
    <row r="82">
      <c r="A82" s="888"/>
      <c r="B82" s="888"/>
      <c r="C82" s="888"/>
      <c r="D82" s="888"/>
      <c r="E82" s="888"/>
      <c r="F82" s="888"/>
      <c r="G82" s="888"/>
    </row>
    <row r="83">
      <c r="A83" s="888"/>
      <c r="B83" s="888"/>
      <c r="C83" s="888"/>
      <c r="D83" s="888"/>
      <c r="E83" s="888"/>
      <c r="F83" s="888"/>
      <c r="G83" s="888"/>
    </row>
    <row r="84">
      <c r="A84" s="888"/>
      <c r="B84" s="888"/>
      <c r="C84" s="888"/>
      <c r="D84" s="888"/>
      <c r="E84" s="888"/>
      <c r="F84" s="888"/>
      <c r="G84" s="888"/>
    </row>
    <row r="85">
      <c r="A85" s="888"/>
      <c r="B85" s="888"/>
      <c r="C85" s="888"/>
      <c r="D85" s="888"/>
      <c r="E85" s="888"/>
      <c r="F85" s="888"/>
      <c r="G85" s="888"/>
    </row>
    <row r="86">
      <c r="A86" s="888"/>
      <c r="B86" s="888"/>
      <c r="C86" s="888"/>
      <c r="D86" s="888"/>
      <c r="E86" s="888"/>
      <c r="F86" s="888"/>
      <c r="G86" s="888"/>
    </row>
    <row r="87">
      <c r="A87" s="888"/>
      <c r="B87" s="888"/>
      <c r="C87" s="888"/>
      <c r="D87" s="888"/>
      <c r="E87" s="888"/>
      <c r="F87" s="888"/>
      <c r="G87" s="888"/>
    </row>
    <row r="88">
      <c r="A88" s="888"/>
      <c r="B88" s="888"/>
      <c r="C88" s="888"/>
      <c r="D88" s="888"/>
      <c r="E88" s="888"/>
      <c r="F88" s="888"/>
      <c r="G88" s="888"/>
    </row>
    <row r="89">
      <c r="A89" s="888"/>
      <c r="B89" s="888"/>
      <c r="C89" s="888"/>
      <c r="D89" s="888"/>
      <c r="E89" s="888"/>
      <c r="F89" s="888"/>
      <c r="G89" s="888"/>
    </row>
    <row r="90">
      <c r="A90" s="888"/>
      <c r="B90" s="888"/>
      <c r="C90" s="888"/>
      <c r="D90" s="888"/>
      <c r="E90" s="888"/>
      <c r="F90" s="888"/>
      <c r="G90" s="888"/>
    </row>
    <row r="91">
      <c r="A91" s="888"/>
      <c r="B91" s="888"/>
      <c r="C91" s="888"/>
      <c r="D91" s="888"/>
      <c r="E91" s="888"/>
      <c r="F91" s="888"/>
      <c r="G91" s="888"/>
    </row>
    <row r="92">
      <c r="A92" s="888"/>
      <c r="B92" s="888"/>
      <c r="C92" s="888"/>
      <c r="D92" s="888"/>
      <c r="E92" s="888"/>
      <c r="F92" s="888"/>
      <c r="G92" s="888"/>
    </row>
    <row r="93">
      <c r="A93" s="888"/>
      <c r="B93" s="888"/>
      <c r="C93" s="888"/>
      <c r="D93" s="888"/>
      <c r="E93" s="888"/>
      <c r="F93" s="888"/>
      <c r="G93" s="888"/>
    </row>
    <row r="94">
      <c r="A94" s="888"/>
      <c r="B94" s="888"/>
      <c r="C94" s="888"/>
      <c r="D94" s="888"/>
      <c r="E94" s="888"/>
      <c r="F94" s="888"/>
      <c r="G94" s="888"/>
    </row>
    <row r="95">
      <c r="A95" s="888"/>
      <c r="B95" s="888"/>
      <c r="C95" s="888"/>
      <c r="D95" s="888"/>
      <c r="E95" s="888"/>
      <c r="F95" s="888"/>
      <c r="G95" s="888"/>
    </row>
    <row r="96">
      <c r="A96" s="888"/>
      <c r="B96" s="888"/>
      <c r="C96" s="888"/>
      <c r="D96" s="888"/>
      <c r="E96" s="888"/>
      <c r="F96" s="888"/>
      <c r="G96" s="888"/>
    </row>
    <row r="97">
      <c r="A97" s="888"/>
      <c r="B97" s="888"/>
      <c r="C97" s="888"/>
      <c r="D97" s="888"/>
      <c r="E97" s="888"/>
      <c r="F97" s="888"/>
      <c r="G97" s="888"/>
    </row>
    <row r="98">
      <c r="A98" s="888"/>
      <c r="B98" s="888"/>
      <c r="C98" s="888"/>
      <c r="D98" s="888"/>
      <c r="E98" s="888"/>
      <c r="F98" s="888"/>
      <c r="G98" s="888"/>
    </row>
    <row r="99">
      <c r="A99" s="888"/>
      <c r="B99" s="888"/>
      <c r="C99" s="888"/>
      <c r="D99" s="888"/>
      <c r="E99" s="888"/>
      <c r="F99" s="888"/>
      <c r="G99" s="888"/>
    </row>
    <row r="100">
      <c r="A100" s="888"/>
      <c r="B100" s="888"/>
      <c r="C100" s="888"/>
      <c r="D100" s="888"/>
      <c r="E100" s="888"/>
      <c r="F100" s="888"/>
      <c r="G100" s="888"/>
    </row>
    <row r="101">
      <c r="A101" s="888"/>
      <c r="B101" s="888"/>
      <c r="C101" s="888"/>
      <c r="D101" s="888"/>
      <c r="E101" s="888"/>
      <c r="F101" s="888"/>
      <c r="G101" s="888"/>
    </row>
    <row r="102">
      <c r="A102" s="888"/>
      <c r="B102" s="888"/>
      <c r="C102" s="888"/>
      <c r="D102" s="888"/>
      <c r="E102" s="888"/>
      <c r="F102" s="888"/>
      <c r="G102" s="888"/>
    </row>
    <row r="103">
      <c r="A103" s="888"/>
      <c r="B103" s="888"/>
      <c r="C103" s="888"/>
      <c r="D103" s="888"/>
      <c r="E103" s="888"/>
      <c r="F103" s="888"/>
      <c r="G103" s="888"/>
    </row>
    <row r="104">
      <c r="A104" s="888"/>
      <c r="B104" s="888"/>
      <c r="C104" s="888"/>
      <c r="D104" s="888"/>
      <c r="E104" s="888"/>
      <c r="F104" s="888"/>
      <c r="G104" s="888"/>
    </row>
    <row r="105">
      <c r="A105" s="888"/>
      <c r="B105" s="888"/>
      <c r="C105" s="888"/>
      <c r="D105" s="888"/>
      <c r="E105" s="888"/>
      <c r="F105" s="888"/>
      <c r="G105" s="888"/>
    </row>
    <row r="106">
      <c r="A106" s="888"/>
      <c r="B106" s="888"/>
      <c r="C106" s="888"/>
      <c r="D106" s="888"/>
      <c r="E106" s="888"/>
      <c r="F106" s="888"/>
      <c r="G106" s="888"/>
    </row>
    <row r="107">
      <c r="A107" s="888"/>
      <c r="B107" s="888"/>
      <c r="C107" s="888"/>
      <c r="D107" s="888"/>
      <c r="E107" s="888"/>
      <c r="F107" s="888"/>
      <c r="G107" s="888"/>
    </row>
    <row r="108">
      <c r="A108" s="888"/>
      <c r="B108" s="888"/>
      <c r="C108" s="888"/>
      <c r="D108" s="888"/>
      <c r="E108" s="888"/>
      <c r="F108" s="888"/>
      <c r="G108" s="888"/>
    </row>
    <row r="109">
      <c r="A109" s="888"/>
      <c r="B109" s="888"/>
      <c r="C109" s="888"/>
      <c r="D109" s="888"/>
      <c r="E109" s="888"/>
      <c r="F109" s="888"/>
      <c r="G109" s="888"/>
    </row>
    <row r="110">
      <c r="A110" s="888"/>
      <c r="B110" s="888"/>
      <c r="C110" s="888"/>
      <c r="D110" s="888"/>
      <c r="E110" s="888"/>
      <c r="F110" s="888"/>
      <c r="G110" s="888"/>
    </row>
    <row r="111">
      <c r="A111" s="888"/>
      <c r="B111" s="888"/>
      <c r="C111" s="888"/>
      <c r="D111" s="888"/>
      <c r="E111" s="888"/>
      <c r="F111" s="888"/>
      <c r="G111" s="888"/>
    </row>
    <row r="112">
      <c r="A112" s="888"/>
      <c r="B112" s="888"/>
      <c r="C112" s="888"/>
      <c r="D112" s="888"/>
      <c r="E112" s="888"/>
      <c r="F112" s="888"/>
      <c r="G112" s="888"/>
    </row>
    <row r="113">
      <c r="A113" s="888"/>
      <c r="B113" s="888"/>
      <c r="C113" s="888"/>
      <c r="D113" s="888"/>
      <c r="E113" s="888"/>
      <c r="F113" s="888"/>
      <c r="G113" s="888"/>
    </row>
    <row r="114">
      <c r="A114" s="888"/>
      <c r="B114" s="888"/>
      <c r="C114" s="888"/>
      <c r="D114" s="888"/>
      <c r="E114" s="888"/>
      <c r="F114" s="888"/>
      <c r="G114" s="888"/>
    </row>
    <row r="115">
      <c r="A115" s="888"/>
      <c r="B115" s="888"/>
      <c r="C115" s="888"/>
      <c r="D115" s="888"/>
      <c r="E115" s="888"/>
      <c r="F115" s="888"/>
      <c r="G115" s="888"/>
    </row>
    <row r="116">
      <c r="A116" s="888"/>
      <c r="B116" s="888"/>
      <c r="C116" s="888"/>
      <c r="D116" s="888"/>
      <c r="E116" s="888"/>
      <c r="F116" s="888"/>
      <c r="G116" s="888"/>
    </row>
    <row r="117">
      <c r="A117" s="888"/>
      <c r="B117" s="888"/>
      <c r="C117" s="888"/>
      <c r="D117" s="888"/>
      <c r="E117" s="888"/>
      <c r="F117" s="888"/>
      <c r="G117" s="888"/>
    </row>
    <row r="118">
      <c r="A118" s="888"/>
      <c r="B118" s="888"/>
      <c r="C118" s="888"/>
      <c r="D118" s="888"/>
      <c r="E118" s="888"/>
      <c r="F118" s="888"/>
      <c r="G118" s="888"/>
    </row>
    <row r="119">
      <c r="A119" s="888"/>
      <c r="B119" s="888"/>
      <c r="C119" s="888"/>
      <c r="D119" s="888"/>
      <c r="E119" s="888"/>
      <c r="F119" s="888"/>
      <c r="G119" s="888"/>
    </row>
    <row r="120">
      <c r="A120" s="888"/>
      <c r="B120" s="888"/>
      <c r="C120" s="888"/>
      <c r="D120" s="888"/>
      <c r="E120" s="888"/>
      <c r="F120" s="888"/>
      <c r="G120" s="888"/>
    </row>
    <row r="121">
      <c r="A121" s="888"/>
      <c r="B121" s="888"/>
      <c r="C121" s="888"/>
      <c r="D121" s="888"/>
      <c r="E121" s="888"/>
      <c r="F121" s="888"/>
      <c r="G121" s="888"/>
    </row>
    <row r="122">
      <c r="A122" s="888"/>
      <c r="B122" s="888"/>
      <c r="C122" s="888"/>
      <c r="D122" s="888"/>
      <c r="E122" s="888"/>
      <c r="F122" s="888"/>
      <c r="G122" s="888"/>
    </row>
    <row r="123">
      <c r="A123" s="888"/>
      <c r="B123" s="888"/>
      <c r="C123" s="888"/>
      <c r="D123" s="888"/>
      <c r="E123" s="888"/>
      <c r="F123" s="888"/>
      <c r="G123" s="888"/>
    </row>
    <row r="124">
      <c r="A124" s="888"/>
      <c r="B124" s="888"/>
      <c r="C124" s="888"/>
      <c r="D124" s="888"/>
      <c r="E124" s="888"/>
      <c r="F124" s="888"/>
      <c r="G124" s="888"/>
    </row>
    <row r="125">
      <c r="A125" s="888"/>
      <c r="B125" s="888"/>
      <c r="C125" s="888"/>
      <c r="D125" s="888"/>
      <c r="E125" s="888"/>
      <c r="F125" s="888"/>
      <c r="G125" s="888"/>
    </row>
    <row r="126">
      <c r="A126" s="888"/>
      <c r="B126" s="888"/>
      <c r="C126" s="888"/>
      <c r="D126" s="888"/>
      <c r="E126" s="888"/>
      <c r="F126" s="888"/>
      <c r="G126" s="888"/>
    </row>
    <row r="127">
      <c r="A127" s="888"/>
      <c r="B127" s="888"/>
      <c r="C127" s="888"/>
      <c r="D127" s="888"/>
      <c r="E127" s="888"/>
      <c r="F127" s="888"/>
      <c r="G127" s="888"/>
    </row>
    <row r="128">
      <c r="A128" s="888"/>
      <c r="B128" s="888"/>
      <c r="C128" s="888"/>
      <c r="D128" s="888"/>
      <c r="E128" s="888"/>
      <c r="F128" s="888"/>
      <c r="G128" s="888"/>
    </row>
    <row r="129">
      <c r="A129" s="888"/>
      <c r="B129" s="888"/>
      <c r="C129" s="888"/>
      <c r="D129" s="888"/>
      <c r="E129" s="888"/>
      <c r="F129" s="888"/>
      <c r="G129" s="888"/>
    </row>
    <row r="130">
      <c r="A130" s="888"/>
      <c r="B130" s="888"/>
      <c r="C130" s="888"/>
      <c r="D130" s="888"/>
      <c r="E130" s="888"/>
      <c r="F130" s="888"/>
      <c r="G130" s="888"/>
    </row>
    <row r="131">
      <c r="A131" s="888"/>
      <c r="B131" s="888"/>
      <c r="C131" s="888"/>
      <c r="D131" s="888"/>
      <c r="E131" s="888"/>
      <c r="F131" s="888"/>
      <c r="G131" s="888"/>
    </row>
    <row r="132">
      <c r="A132" s="888"/>
      <c r="B132" s="888"/>
      <c r="C132" s="888"/>
      <c r="D132" s="888"/>
      <c r="E132" s="888"/>
      <c r="F132" s="888"/>
      <c r="G132" s="888"/>
    </row>
    <row r="133">
      <c r="A133" s="888"/>
      <c r="B133" s="888"/>
      <c r="C133" s="888"/>
      <c r="D133" s="888"/>
      <c r="E133" s="888"/>
      <c r="F133" s="888"/>
      <c r="G133" s="888"/>
    </row>
    <row r="134">
      <c r="A134" s="888"/>
      <c r="B134" s="888"/>
      <c r="C134" s="888"/>
      <c r="D134" s="888"/>
      <c r="E134" s="888"/>
      <c r="F134" s="888"/>
      <c r="G134" s="888"/>
    </row>
    <row r="135">
      <c r="A135" s="888"/>
      <c r="B135" s="888"/>
      <c r="C135" s="888"/>
      <c r="D135" s="888"/>
      <c r="E135" s="888"/>
      <c r="F135" s="888"/>
      <c r="G135" s="888"/>
    </row>
    <row r="136">
      <c r="A136" s="888"/>
      <c r="B136" s="888"/>
      <c r="C136" s="888"/>
      <c r="D136" s="888"/>
      <c r="E136" s="888"/>
      <c r="F136" s="888"/>
      <c r="G136" s="888"/>
    </row>
    <row r="137">
      <c r="A137" s="888"/>
      <c r="B137" s="888"/>
      <c r="C137" s="888"/>
      <c r="D137" s="888"/>
      <c r="E137" s="888"/>
      <c r="F137" s="888"/>
      <c r="G137" s="888"/>
    </row>
    <row r="138">
      <c r="A138" s="888"/>
      <c r="B138" s="888"/>
      <c r="C138" s="888"/>
      <c r="D138" s="888"/>
      <c r="E138" s="888"/>
      <c r="F138" s="888"/>
      <c r="G138" s="888"/>
    </row>
    <row r="139">
      <c r="A139" s="888"/>
      <c r="B139" s="888"/>
      <c r="C139" s="888"/>
      <c r="D139" s="888"/>
      <c r="E139" s="888"/>
      <c r="F139" s="888"/>
      <c r="G139" s="888"/>
    </row>
    <row r="140">
      <c r="A140" s="888"/>
      <c r="B140" s="888"/>
      <c r="C140" s="888"/>
      <c r="D140" s="888"/>
      <c r="E140" s="888"/>
      <c r="F140" s="888"/>
      <c r="G140" s="888"/>
    </row>
    <row r="141">
      <c r="A141" s="888"/>
      <c r="B141" s="888"/>
      <c r="C141" s="888"/>
      <c r="D141" s="888"/>
      <c r="E141" s="888"/>
      <c r="F141" s="888"/>
      <c r="G141" s="888"/>
    </row>
    <row r="142">
      <c r="A142" s="888"/>
      <c r="B142" s="888"/>
      <c r="C142" s="888"/>
      <c r="D142" s="888"/>
      <c r="E142" s="888"/>
      <c r="F142" s="888"/>
      <c r="G142" s="888"/>
    </row>
    <row r="143">
      <c r="A143" s="888"/>
      <c r="B143" s="888"/>
      <c r="C143" s="888"/>
      <c r="D143" s="888"/>
      <c r="E143" s="888"/>
      <c r="F143" s="888"/>
      <c r="G143" s="888"/>
    </row>
    <row r="144">
      <c r="A144" s="888"/>
      <c r="B144" s="888"/>
      <c r="C144" s="888"/>
      <c r="D144" s="888"/>
      <c r="E144" s="888"/>
      <c r="F144" s="888"/>
      <c r="G144" s="888"/>
    </row>
    <row r="145">
      <c r="A145" s="888"/>
      <c r="B145" s="888"/>
      <c r="C145" s="888"/>
      <c r="D145" s="888"/>
      <c r="E145" s="888"/>
      <c r="F145" s="888"/>
      <c r="G145" s="888"/>
    </row>
    <row r="146">
      <c r="A146" s="888"/>
      <c r="B146" s="888"/>
      <c r="C146" s="888"/>
      <c r="D146" s="888"/>
      <c r="E146" s="888"/>
      <c r="F146" s="888"/>
      <c r="G146" s="888"/>
    </row>
    <row r="147">
      <c r="A147" s="888"/>
      <c r="B147" s="888"/>
      <c r="C147" s="888"/>
      <c r="D147" s="888"/>
      <c r="E147" s="888"/>
      <c r="F147" s="888"/>
      <c r="G147" s="888"/>
    </row>
    <row r="148">
      <c r="A148" s="888"/>
      <c r="B148" s="888"/>
      <c r="C148" s="888"/>
      <c r="D148" s="888"/>
      <c r="E148" s="888"/>
      <c r="F148" s="888"/>
      <c r="G148" s="888"/>
    </row>
    <row r="149">
      <c r="A149" s="888"/>
      <c r="B149" s="888"/>
      <c r="C149" s="888"/>
      <c r="D149" s="888"/>
      <c r="E149" s="888"/>
      <c r="F149" s="888"/>
      <c r="G149" s="888"/>
    </row>
    <row r="150">
      <c r="A150" s="888"/>
      <c r="B150" s="888"/>
      <c r="C150" s="888"/>
      <c r="D150" s="888"/>
      <c r="E150" s="888"/>
      <c r="F150" s="888"/>
      <c r="G150" s="888"/>
    </row>
    <row r="151">
      <c r="A151" s="888"/>
      <c r="B151" s="888"/>
      <c r="C151" s="888"/>
      <c r="D151" s="888"/>
      <c r="E151" s="888"/>
      <c r="F151" s="888"/>
      <c r="G151" s="888"/>
    </row>
    <row r="152">
      <c r="A152" s="888"/>
      <c r="B152" s="888"/>
      <c r="C152" s="888"/>
      <c r="D152" s="888"/>
      <c r="E152" s="888"/>
      <c r="F152" s="888"/>
      <c r="G152" s="888"/>
    </row>
    <row r="153">
      <c r="A153" s="888"/>
      <c r="B153" s="888"/>
      <c r="C153" s="888"/>
      <c r="D153" s="888"/>
      <c r="E153" s="888"/>
      <c r="F153" s="888"/>
      <c r="G153" s="888"/>
    </row>
    <row r="154">
      <c r="A154" s="888"/>
      <c r="B154" s="888"/>
      <c r="C154" s="888"/>
      <c r="D154" s="888"/>
      <c r="E154" s="888"/>
      <c r="F154" s="888"/>
      <c r="G154" s="888"/>
    </row>
    <row r="155">
      <c r="A155" s="888"/>
      <c r="B155" s="888"/>
      <c r="C155" s="888"/>
      <c r="D155" s="888"/>
      <c r="E155" s="888"/>
      <c r="F155" s="888"/>
      <c r="G155" s="888"/>
    </row>
    <row r="156">
      <c r="A156" s="888"/>
      <c r="B156" s="888"/>
      <c r="C156" s="888"/>
      <c r="D156" s="888"/>
      <c r="E156" s="888"/>
      <c r="F156" s="888"/>
      <c r="G156" s="888"/>
    </row>
    <row r="157">
      <c r="A157" s="888"/>
      <c r="B157" s="888"/>
      <c r="C157" s="888"/>
      <c r="D157" s="888"/>
      <c r="E157" s="888"/>
      <c r="F157" s="888"/>
      <c r="G157" s="888"/>
    </row>
    <row r="158">
      <c r="A158" s="888"/>
      <c r="B158" s="888"/>
      <c r="C158" s="888"/>
      <c r="D158" s="888"/>
      <c r="E158" s="888"/>
      <c r="F158" s="888"/>
      <c r="G158" s="888"/>
    </row>
    <row r="159">
      <c r="A159" s="888"/>
      <c r="B159" s="888"/>
      <c r="C159" s="888"/>
      <c r="D159" s="888"/>
      <c r="E159" s="888"/>
      <c r="F159" s="888"/>
      <c r="G159" s="888"/>
    </row>
    <row r="160">
      <c r="A160" s="888"/>
      <c r="B160" s="888"/>
      <c r="C160" s="888"/>
      <c r="D160" s="888"/>
      <c r="E160" s="888"/>
      <c r="F160" s="888"/>
      <c r="G160" s="888"/>
    </row>
    <row r="161">
      <c r="A161" s="888"/>
      <c r="B161" s="888"/>
      <c r="C161" s="888"/>
      <c r="D161" s="888"/>
      <c r="E161" s="888"/>
      <c r="F161" s="888"/>
      <c r="G161" s="888"/>
    </row>
    <row r="162">
      <c r="A162" s="888"/>
      <c r="B162" s="888"/>
      <c r="C162" s="888"/>
      <c r="D162" s="888"/>
      <c r="E162" s="888"/>
      <c r="F162" s="888"/>
      <c r="G162" s="888"/>
    </row>
    <row r="163">
      <c r="A163" s="888"/>
      <c r="B163" s="888"/>
      <c r="C163" s="888"/>
      <c r="D163" s="888"/>
      <c r="E163" s="888"/>
      <c r="F163" s="888"/>
      <c r="G163" s="888"/>
    </row>
    <row r="164">
      <c r="A164" s="888"/>
      <c r="B164" s="888"/>
      <c r="C164" s="888"/>
      <c r="D164" s="888"/>
      <c r="E164" s="888"/>
      <c r="F164" s="888"/>
      <c r="G164" s="888"/>
    </row>
    <row r="165">
      <c r="A165" s="888"/>
      <c r="B165" s="888"/>
      <c r="C165" s="888"/>
      <c r="D165" s="888"/>
      <c r="E165" s="888"/>
      <c r="F165" s="888"/>
      <c r="G165" s="888"/>
    </row>
    <row r="166">
      <c r="A166" s="888"/>
      <c r="B166" s="888"/>
      <c r="C166" s="888"/>
      <c r="D166" s="888"/>
      <c r="E166" s="888"/>
      <c r="F166" s="888"/>
      <c r="G166" s="888"/>
    </row>
    <row r="167">
      <c r="A167" s="888"/>
      <c r="B167" s="888"/>
      <c r="C167" s="888"/>
      <c r="D167" s="888"/>
      <c r="E167" s="888"/>
      <c r="F167" s="888"/>
      <c r="G167" s="888"/>
    </row>
    <row r="168">
      <c r="A168" s="888"/>
      <c r="B168" s="888"/>
      <c r="C168" s="888"/>
      <c r="D168" s="888"/>
      <c r="E168" s="888"/>
      <c r="F168" s="888"/>
      <c r="G168" s="888"/>
    </row>
    <row r="169">
      <c r="A169" s="888"/>
      <c r="B169" s="888"/>
      <c r="C169" s="888"/>
      <c r="D169" s="888"/>
      <c r="E169" s="888"/>
      <c r="F169" s="888"/>
      <c r="G169" s="888"/>
    </row>
    <row r="170">
      <c r="A170" s="888"/>
      <c r="B170" s="888"/>
      <c r="C170" s="888"/>
      <c r="D170" s="888"/>
      <c r="E170" s="888"/>
      <c r="F170" s="888"/>
      <c r="G170" s="888"/>
    </row>
    <row r="171">
      <c r="A171" s="888"/>
      <c r="B171" s="888"/>
      <c r="C171" s="888"/>
      <c r="D171" s="888"/>
      <c r="E171" s="888"/>
      <c r="F171" s="888"/>
      <c r="G171" s="888"/>
    </row>
    <row r="172">
      <c r="A172" s="888"/>
      <c r="B172" s="888"/>
      <c r="C172" s="888"/>
      <c r="D172" s="888"/>
      <c r="E172" s="888"/>
      <c r="F172" s="888"/>
      <c r="G172" s="888"/>
    </row>
    <row r="173">
      <c r="A173" s="888"/>
      <c r="B173" s="888"/>
      <c r="C173" s="888"/>
      <c r="D173" s="888"/>
      <c r="E173" s="888"/>
      <c r="F173" s="888"/>
      <c r="G173" s="888"/>
    </row>
    <row r="174">
      <c r="A174" s="888"/>
      <c r="B174" s="888"/>
      <c r="C174" s="888"/>
      <c r="D174" s="888"/>
      <c r="E174" s="888"/>
      <c r="F174" s="888"/>
      <c r="G174" s="888"/>
    </row>
    <row r="175">
      <c r="A175" s="888"/>
      <c r="B175" s="888"/>
      <c r="C175" s="888"/>
      <c r="D175" s="888"/>
      <c r="E175" s="888"/>
      <c r="F175" s="888"/>
      <c r="G175" s="888"/>
    </row>
    <row r="176">
      <c r="A176" s="888"/>
      <c r="B176" s="888"/>
      <c r="C176" s="888"/>
      <c r="D176" s="888"/>
      <c r="E176" s="888"/>
      <c r="F176" s="888"/>
      <c r="G176" s="888"/>
    </row>
    <row r="177">
      <c r="A177" s="888"/>
      <c r="B177" s="888"/>
      <c r="C177" s="888"/>
      <c r="D177" s="888"/>
      <c r="E177" s="888"/>
      <c r="F177" s="888"/>
      <c r="G177" s="888"/>
    </row>
    <row r="178">
      <c r="A178" s="888"/>
      <c r="B178" s="888"/>
      <c r="C178" s="888"/>
      <c r="D178" s="888"/>
      <c r="E178" s="888"/>
      <c r="F178" s="888"/>
      <c r="G178" s="888"/>
    </row>
    <row r="179">
      <c r="A179" s="888"/>
      <c r="B179" s="888"/>
      <c r="C179" s="888"/>
      <c r="D179" s="888"/>
      <c r="E179" s="888"/>
      <c r="F179" s="888"/>
      <c r="G179" s="888"/>
    </row>
    <row r="180">
      <c r="A180" s="888"/>
      <c r="B180" s="888"/>
      <c r="C180" s="888"/>
      <c r="D180" s="888"/>
      <c r="E180" s="888"/>
      <c r="F180" s="888"/>
      <c r="G180" s="888"/>
    </row>
    <row r="181">
      <c r="A181" s="888"/>
      <c r="B181" s="888"/>
      <c r="C181" s="888"/>
      <c r="D181" s="888"/>
      <c r="E181" s="888"/>
      <c r="F181" s="888"/>
      <c r="G181" s="888"/>
    </row>
    <row r="182">
      <c r="A182" s="888"/>
      <c r="B182" s="888"/>
      <c r="C182" s="888"/>
      <c r="D182" s="888"/>
      <c r="E182" s="888"/>
      <c r="F182" s="888"/>
      <c r="G182" s="888"/>
    </row>
    <row r="183">
      <c r="A183" s="888"/>
      <c r="B183" s="888"/>
      <c r="C183" s="888"/>
      <c r="D183" s="888"/>
      <c r="E183" s="888"/>
      <c r="F183" s="888"/>
      <c r="G183" s="888"/>
    </row>
    <row r="184">
      <c r="A184" s="888"/>
      <c r="B184" s="888"/>
      <c r="C184" s="888"/>
      <c r="D184" s="888"/>
      <c r="E184" s="888"/>
      <c r="F184" s="888"/>
      <c r="G184" s="888"/>
    </row>
    <row r="185">
      <c r="A185" s="888"/>
      <c r="B185" s="888"/>
      <c r="C185" s="888"/>
      <c r="D185" s="888"/>
      <c r="E185" s="888"/>
      <c r="F185" s="888"/>
      <c r="G185" s="888"/>
    </row>
    <row r="186">
      <c r="A186" s="888"/>
      <c r="B186" s="888"/>
      <c r="C186" s="888"/>
      <c r="D186" s="888"/>
      <c r="E186" s="888"/>
      <c r="F186" s="888"/>
      <c r="G186" s="888"/>
    </row>
    <row r="187">
      <c r="A187" s="888"/>
      <c r="B187" s="888"/>
      <c r="C187" s="888"/>
      <c r="D187" s="888"/>
      <c r="E187" s="888"/>
      <c r="F187" s="888"/>
      <c r="G187" s="888"/>
    </row>
    <row r="188">
      <c r="A188" s="888"/>
      <c r="B188" s="888"/>
      <c r="C188" s="888"/>
      <c r="D188" s="888"/>
      <c r="E188" s="888"/>
      <c r="F188" s="888"/>
      <c r="G188" s="888"/>
    </row>
    <row r="189">
      <c r="A189" s="888"/>
      <c r="B189" s="888"/>
      <c r="C189" s="888"/>
      <c r="D189" s="888"/>
      <c r="E189" s="888"/>
      <c r="F189" s="888"/>
      <c r="G189" s="888"/>
    </row>
    <row r="190">
      <c r="A190" s="888"/>
      <c r="B190" s="888"/>
      <c r="C190" s="888"/>
      <c r="D190" s="888"/>
      <c r="E190" s="888"/>
      <c r="F190" s="888"/>
      <c r="G190" s="888"/>
    </row>
    <row r="191">
      <c r="A191" s="888"/>
      <c r="B191" s="888"/>
      <c r="C191" s="888"/>
      <c r="D191" s="888"/>
      <c r="E191" s="888"/>
      <c r="F191" s="888"/>
      <c r="G191" s="888"/>
    </row>
    <row r="192">
      <c r="A192" s="888"/>
      <c r="B192" s="888"/>
      <c r="C192" s="888"/>
      <c r="D192" s="888"/>
      <c r="E192" s="888"/>
      <c r="F192" s="888"/>
      <c r="G192" s="888"/>
    </row>
    <row r="193">
      <c r="A193" s="888"/>
      <c r="B193" s="888"/>
      <c r="C193" s="888"/>
      <c r="D193" s="888"/>
      <c r="E193" s="888"/>
      <c r="F193" s="888"/>
      <c r="G193" s="888"/>
    </row>
    <row r="194">
      <c r="A194" s="888"/>
      <c r="B194" s="888"/>
      <c r="C194" s="888"/>
      <c r="D194" s="888"/>
      <c r="E194" s="888"/>
      <c r="F194" s="888"/>
      <c r="G194" s="888"/>
    </row>
    <row r="195">
      <c r="A195" s="888"/>
      <c r="B195" s="888"/>
      <c r="C195" s="888"/>
      <c r="D195" s="888"/>
      <c r="E195" s="888"/>
      <c r="F195" s="888"/>
      <c r="G195" s="888"/>
    </row>
    <row r="196">
      <c r="A196" s="888"/>
      <c r="B196" s="888"/>
      <c r="C196" s="888"/>
      <c r="D196" s="888"/>
      <c r="E196" s="888"/>
      <c r="F196" s="888"/>
      <c r="G196" s="888"/>
    </row>
    <row r="197">
      <c r="A197" s="888"/>
      <c r="B197" s="888"/>
      <c r="C197" s="888"/>
      <c r="D197" s="888"/>
      <c r="E197" s="888"/>
      <c r="F197" s="888"/>
      <c r="G197" s="888"/>
    </row>
    <row r="198">
      <c r="A198" s="888"/>
      <c r="B198" s="888"/>
      <c r="C198" s="888"/>
      <c r="D198" s="888"/>
      <c r="E198" s="888"/>
      <c r="F198" s="888"/>
      <c r="G198" s="888"/>
    </row>
    <row r="199">
      <c r="A199" s="888"/>
      <c r="B199" s="888"/>
      <c r="C199" s="888"/>
      <c r="D199" s="888"/>
      <c r="E199" s="888"/>
      <c r="F199" s="888"/>
      <c r="G199" s="888"/>
    </row>
    <row r="200">
      <c r="A200" s="888"/>
      <c r="B200" s="888"/>
      <c r="C200" s="888"/>
      <c r="D200" s="888"/>
      <c r="E200" s="888"/>
      <c r="F200" s="888"/>
      <c r="G200" s="888"/>
    </row>
    <row r="201">
      <c r="A201" s="888"/>
      <c r="B201" s="888"/>
      <c r="C201" s="888"/>
      <c r="D201" s="888"/>
      <c r="E201" s="888"/>
      <c r="F201" s="888"/>
      <c r="G201" s="888"/>
    </row>
    <row r="202">
      <c r="A202" s="888"/>
      <c r="B202" s="888"/>
      <c r="C202" s="888"/>
      <c r="D202" s="888"/>
      <c r="E202" s="888"/>
      <c r="F202" s="888"/>
      <c r="G202" s="888"/>
    </row>
    <row r="203">
      <c r="A203" s="888"/>
      <c r="B203" s="888"/>
      <c r="C203" s="888"/>
      <c r="D203" s="888"/>
      <c r="E203" s="888"/>
      <c r="F203" s="888"/>
      <c r="G203" s="888"/>
    </row>
    <row r="204">
      <c r="A204" s="888"/>
      <c r="B204" s="888"/>
      <c r="C204" s="888"/>
      <c r="D204" s="888"/>
      <c r="E204" s="888"/>
      <c r="F204" s="888"/>
      <c r="G204" s="888"/>
    </row>
    <row r="205">
      <c r="A205" s="888"/>
      <c r="B205" s="888"/>
      <c r="C205" s="888"/>
      <c r="D205" s="888"/>
      <c r="E205" s="888"/>
      <c r="F205" s="888"/>
      <c r="G205" s="888"/>
    </row>
    <row r="206">
      <c r="A206" s="888"/>
      <c r="B206" s="888"/>
      <c r="C206" s="888"/>
      <c r="D206" s="888"/>
      <c r="E206" s="888"/>
      <c r="F206" s="888"/>
      <c r="G206" s="888"/>
    </row>
    <row r="207">
      <c r="A207" s="888"/>
      <c r="B207" s="888"/>
      <c r="C207" s="888"/>
      <c r="D207" s="888"/>
      <c r="E207" s="888"/>
      <c r="F207" s="888"/>
      <c r="G207" s="888"/>
    </row>
    <row r="208">
      <c r="A208" s="888"/>
      <c r="B208" s="888"/>
      <c r="C208" s="888"/>
      <c r="D208" s="888"/>
      <c r="E208" s="888"/>
      <c r="F208" s="888"/>
      <c r="G208" s="888"/>
    </row>
    <row r="209">
      <c r="A209" s="888"/>
      <c r="B209" s="888"/>
      <c r="C209" s="888"/>
      <c r="D209" s="888"/>
      <c r="E209" s="888"/>
      <c r="F209" s="888"/>
      <c r="G209" s="888"/>
    </row>
    <row r="210">
      <c r="A210" s="888"/>
      <c r="B210" s="888"/>
      <c r="C210" s="888"/>
      <c r="D210" s="888"/>
      <c r="E210" s="888"/>
      <c r="F210" s="888"/>
      <c r="G210" s="888"/>
    </row>
    <row r="211">
      <c r="A211" s="888"/>
      <c r="B211" s="888"/>
      <c r="C211" s="888"/>
      <c r="D211" s="888"/>
      <c r="E211" s="888"/>
      <c r="F211" s="888"/>
      <c r="G211" s="888"/>
    </row>
    <row r="212">
      <c r="A212" s="888"/>
      <c r="B212" s="888"/>
      <c r="C212" s="888"/>
      <c r="D212" s="888"/>
      <c r="E212" s="888"/>
      <c r="F212" s="888"/>
      <c r="G212" s="888"/>
    </row>
    <row r="213">
      <c r="A213" s="888"/>
      <c r="B213" s="888"/>
      <c r="C213" s="888"/>
      <c r="D213" s="888"/>
      <c r="E213" s="888"/>
      <c r="F213" s="888"/>
      <c r="G213" s="888"/>
    </row>
    <row r="214">
      <c r="A214" s="888"/>
      <c r="B214" s="888"/>
      <c r="C214" s="888"/>
      <c r="D214" s="888"/>
      <c r="E214" s="888"/>
      <c r="F214" s="888"/>
      <c r="G214" s="888"/>
    </row>
    <row r="215">
      <c r="A215" s="888"/>
      <c r="B215" s="888"/>
      <c r="C215" s="888"/>
      <c r="D215" s="888"/>
      <c r="E215" s="888"/>
      <c r="F215" s="888"/>
      <c r="G215" s="888"/>
    </row>
    <row r="216">
      <c r="A216" s="888"/>
      <c r="B216" s="888"/>
      <c r="C216" s="888"/>
      <c r="D216" s="888"/>
      <c r="E216" s="888"/>
      <c r="F216" s="888"/>
      <c r="G216" s="888"/>
    </row>
    <row r="217">
      <c r="A217" s="888"/>
      <c r="B217" s="888"/>
      <c r="C217" s="888"/>
      <c r="D217" s="888"/>
      <c r="E217" s="888"/>
      <c r="F217" s="888"/>
      <c r="G217" s="888"/>
    </row>
    <row r="218">
      <c r="A218" s="888"/>
      <c r="B218" s="888"/>
      <c r="C218" s="888"/>
      <c r="D218" s="888"/>
      <c r="E218" s="888"/>
      <c r="F218" s="888"/>
      <c r="G218" s="888"/>
    </row>
    <row r="219">
      <c r="A219" s="888"/>
      <c r="B219" s="888"/>
      <c r="C219" s="888"/>
      <c r="D219" s="888"/>
      <c r="E219" s="888"/>
      <c r="F219" s="888"/>
      <c r="G219" s="888"/>
    </row>
    <row r="220">
      <c r="A220" s="888"/>
      <c r="B220" s="888"/>
      <c r="C220" s="888"/>
      <c r="D220" s="888"/>
      <c r="E220" s="888"/>
      <c r="F220" s="888"/>
      <c r="G220" s="888"/>
    </row>
    <row r="221">
      <c r="A221" s="888"/>
      <c r="B221" s="888"/>
      <c r="C221" s="888"/>
      <c r="D221" s="888"/>
      <c r="E221" s="888"/>
      <c r="F221" s="888"/>
      <c r="G221" s="888"/>
    </row>
    <row r="222">
      <c r="A222" s="888"/>
      <c r="B222" s="888"/>
      <c r="C222" s="888"/>
      <c r="D222" s="888"/>
      <c r="E222" s="888"/>
      <c r="F222" s="888"/>
      <c r="G222" s="888"/>
    </row>
    <row r="223">
      <c r="A223" s="888"/>
      <c r="B223" s="888"/>
      <c r="C223" s="888"/>
      <c r="D223" s="888"/>
      <c r="E223" s="888"/>
      <c r="F223" s="888"/>
      <c r="G223" s="888"/>
    </row>
    <row r="224">
      <c r="A224" s="888"/>
      <c r="B224" s="888"/>
      <c r="C224" s="888"/>
      <c r="D224" s="888"/>
      <c r="E224" s="888"/>
      <c r="F224" s="888"/>
      <c r="G224" s="888"/>
    </row>
    <row r="225">
      <c r="A225" s="888"/>
      <c r="B225" s="888"/>
      <c r="C225" s="888"/>
      <c r="D225" s="888"/>
      <c r="E225" s="888"/>
      <c r="F225" s="888"/>
      <c r="G225" s="888"/>
    </row>
    <row r="226">
      <c r="A226" s="888"/>
      <c r="B226" s="888"/>
      <c r="C226" s="888"/>
      <c r="D226" s="888"/>
      <c r="E226" s="888"/>
      <c r="F226" s="888"/>
      <c r="G226" s="888"/>
    </row>
    <row r="227">
      <c r="A227" s="888"/>
      <c r="B227" s="888"/>
      <c r="C227" s="888"/>
      <c r="D227" s="888"/>
      <c r="E227" s="888"/>
      <c r="F227" s="888"/>
      <c r="G227" s="888"/>
    </row>
    <row r="228">
      <c r="A228" s="888"/>
      <c r="B228" s="888"/>
      <c r="C228" s="888"/>
      <c r="D228" s="888"/>
      <c r="E228" s="888"/>
      <c r="F228" s="888"/>
      <c r="G228" s="888"/>
    </row>
    <row r="229">
      <c r="A229" s="888"/>
      <c r="B229" s="888"/>
      <c r="C229" s="888"/>
      <c r="D229" s="888"/>
      <c r="E229" s="888"/>
      <c r="F229" s="888"/>
      <c r="G229" s="888"/>
    </row>
    <row r="230">
      <c r="A230" s="888"/>
      <c r="B230" s="888"/>
      <c r="C230" s="888"/>
      <c r="D230" s="888"/>
      <c r="E230" s="888"/>
      <c r="F230" s="888"/>
      <c r="G230" s="888"/>
    </row>
    <row r="231">
      <c r="A231" s="888"/>
      <c r="B231" s="888"/>
      <c r="C231" s="888"/>
      <c r="D231" s="888"/>
      <c r="E231" s="888"/>
      <c r="F231" s="888"/>
      <c r="G231" s="888"/>
    </row>
    <row r="232">
      <c r="A232" s="888"/>
      <c r="B232" s="888"/>
      <c r="C232" s="888"/>
      <c r="D232" s="888"/>
      <c r="E232" s="888"/>
      <c r="F232" s="888"/>
      <c r="G232" s="888"/>
    </row>
    <row r="233">
      <c r="A233" s="888"/>
      <c r="B233" s="888"/>
      <c r="C233" s="888"/>
      <c r="D233" s="888"/>
      <c r="E233" s="888"/>
      <c r="F233" s="888"/>
      <c r="G233" s="888"/>
    </row>
    <row r="234">
      <c r="A234" s="888"/>
      <c r="B234" s="888"/>
      <c r="C234" s="888"/>
      <c r="D234" s="888"/>
      <c r="E234" s="888"/>
      <c r="F234" s="888"/>
      <c r="G234" s="888"/>
    </row>
    <row r="235">
      <c r="A235" s="888"/>
      <c r="B235" s="888"/>
      <c r="C235" s="888"/>
      <c r="D235" s="888"/>
      <c r="E235" s="888"/>
      <c r="F235" s="888"/>
      <c r="G235" s="888"/>
    </row>
    <row r="236">
      <c r="A236" s="888"/>
      <c r="B236" s="888"/>
      <c r="C236" s="888"/>
      <c r="D236" s="888"/>
      <c r="E236" s="888"/>
      <c r="F236" s="888"/>
      <c r="G236" s="888"/>
    </row>
    <row r="237">
      <c r="A237" s="888"/>
      <c r="B237" s="888"/>
      <c r="C237" s="888"/>
      <c r="D237" s="888"/>
      <c r="E237" s="888"/>
      <c r="F237" s="888"/>
      <c r="G237" s="888"/>
    </row>
    <row r="238">
      <c r="A238" s="888"/>
      <c r="B238" s="888"/>
      <c r="C238" s="888"/>
      <c r="D238" s="888"/>
      <c r="E238" s="888"/>
      <c r="F238" s="888"/>
      <c r="G238" s="888"/>
    </row>
    <row r="239">
      <c r="A239" s="888"/>
      <c r="B239" s="888"/>
      <c r="C239" s="888"/>
      <c r="D239" s="888"/>
      <c r="E239" s="888"/>
      <c r="F239" s="888"/>
      <c r="G239" s="888"/>
    </row>
    <row r="240">
      <c r="A240" s="888"/>
      <c r="B240" s="888"/>
      <c r="C240" s="888"/>
      <c r="D240" s="888"/>
      <c r="E240" s="888"/>
      <c r="F240" s="888"/>
      <c r="G240" s="888"/>
    </row>
    <row r="241">
      <c r="A241" s="888"/>
      <c r="B241" s="888"/>
      <c r="C241" s="888"/>
      <c r="D241" s="888"/>
      <c r="E241" s="888"/>
      <c r="F241" s="888"/>
      <c r="G241" s="888"/>
    </row>
    <row r="242">
      <c r="A242" s="888"/>
      <c r="B242" s="888"/>
      <c r="C242" s="888"/>
      <c r="D242" s="888"/>
      <c r="E242" s="888"/>
      <c r="F242" s="888"/>
      <c r="G242" s="888"/>
    </row>
    <row r="243">
      <c r="A243" s="888"/>
      <c r="B243" s="888"/>
      <c r="C243" s="888"/>
      <c r="D243" s="888"/>
      <c r="E243" s="888"/>
      <c r="F243" s="888"/>
      <c r="G243" s="888"/>
    </row>
    <row r="244">
      <c r="A244" s="888"/>
      <c r="B244" s="888"/>
      <c r="C244" s="888"/>
      <c r="D244" s="888"/>
      <c r="E244" s="888"/>
      <c r="F244" s="888"/>
      <c r="G244" s="888"/>
    </row>
    <row r="245">
      <c r="A245" s="888"/>
      <c r="B245" s="888"/>
      <c r="C245" s="888"/>
      <c r="D245" s="888"/>
      <c r="E245" s="888"/>
      <c r="F245" s="888"/>
      <c r="G245" s="888"/>
    </row>
    <row r="246">
      <c r="A246" s="888"/>
      <c r="B246" s="888"/>
      <c r="C246" s="888"/>
      <c r="D246" s="888"/>
      <c r="E246" s="888"/>
      <c r="F246" s="888"/>
      <c r="G246" s="888"/>
    </row>
    <row r="247">
      <c r="A247" s="888"/>
      <c r="B247" s="888"/>
      <c r="C247" s="888"/>
      <c r="D247" s="888"/>
      <c r="E247" s="888"/>
      <c r="F247" s="888"/>
      <c r="G247" s="888"/>
    </row>
    <row r="248">
      <c r="A248" s="888"/>
      <c r="B248" s="888"/>
      <c r="C248" s="888"/>
      <c r="D248" s="888"/>
      <c r="E248" s="888"/>
      <c r="F248" s="888"/>
      <c r="G248" s="888"/>
    </row>
    <row r="249">
      <c r="A249" s="888"/>
      <c r="B249" s="888"/>
      <c r="C249" s="888"/>
      <c r="D249" s="888"/>
      <c r="E249" s="888"/>
      <c r="F249" s="888"/>
      <c r="G249" s="888"/>
    </row>
    <row r="250">
      <c r="A250" s="888"/>
      <c r="B250" s="888"/>
      <c r="C250" s="888"/>
      <c r="D250" s="888"/>
      <c r="E250" s="888"/>
      <c r="F250" s="888"/>
      <c r="G250" s="888"/>
    </row>
    <row r="251">
      <c r="A251" s="888"/>
      <c r="B251" s="888"/>
      <c r="C251" s="888"/>
      <c r="D251" s="888"/>
      <c r="E251" s="888"/>
      <c r="F251" s="888"/>
      <c r="G251" s="888"/>
    </row>
    <row r="252">
      <c r="A252" s="888"/>
      <c r="B252" s="888"/>
      <c r="C252" s="888"/>
      <c r="D252" s="888"/>
      <c r="E252" s="888"/>
      <c r="F252" s="888"/>
      <c r="G252" s="888"/>
    </row>
    <row r="253">
      <c r="A253" s="888"/>
      <c r="B253" s="888"/>
      <c r="C253" s="888"/>
      <c r="D253" s="888"/>
      <c r="E253" s="888"/>
      <c r="F253" s="888"/>
      <c r="G253" s="888"/>
    </row>
    <row r="254">
      <c r="A254" s="888"/>
      <c r="B254" s="888"/>
      <c r="C254" s="888"/>
      <c r="D254" s="888"/>
      <c r="E254" s="888"/>
      <c r="F254" s="888"/>
      <c r="G254" s="888"/>
    </row>
    <row r="255">
      <c r="A255" s="888"/>
      <c r="B255" s="888"/>
      <c r="C255" s="888"/>
      <c r="D255" s="888"/>
      <c r="E255" s="888"/>
      <c r="F255" s="888"/>
      <c r="G255" s="888"/>
    </row>
    <row r="256">
      <c r="A256" s="888"/>
      <c r="B256" s="888"/>
      <c r="C256" s="888"/>
      <c r="D256" s="888"/>
      <c r="E256" s="888"/>
      <c r="F256" s="888"/>
      <c r="G256" s="888"/>
    </row>
    <row r="257">
      <c r="A257" s="888"/>
      <c r="B257" s="888"/>
      <c r="C257" s="888"/>
      <c r="D257" s="888"/>
      <c r="E257" s="888"/>
      <c r="F257" s="888"/>
      <c r="G257" s="888"/>
    </row>
    <row r="258">
      <c r="A258" s="888"/>
      <c r="B258" s="888"/>
      <c r="C258" s="888"/>
      <c r="D258" s="888"/>
      <c r="E258" s="888"/>
      <c r="F258" s="888"/>
      <c r="G258" s="888"/>
    </row>
    <row r="259">
      <c r="A259" s="888"/>
      <c r="B259" s="888"/>
      <c r="C259" s="888"/>
      <c r="D259" s="888"/>
      <c r="E259" s="888"/>
      <c r="F259" s="888"/>
      <c r="G259" s="888"/>
    </row>
    <row r="260">
      <c r="A260" s="888"/>
      <c r="B260" s="888"/>
      <c r="C260" s="888"/>
      <c r="D260" s="888"/>
      <c r="E260" s="888"/>
      <c r="F260" s="888"/>
      <c r="G260" s="888"/>
    </row>
    <row r="261">
      <c r="A261" s="888"/>
      <c r="B261" s="888"/>
      <c r="C261" s="888"/>
      <c r="D261" s="888"/>
      <c r="E261" s="888"/>
      <c r="F261" s="888"/>
      <c r="G261" s="888"/>
    </row>
    <row r="262">
      <c r="A262" s="888"/>
      <c r="B262" s="888"/>
      <c r="C262" s="888"/>
      <c r="D262" s="888"/>
      <c r="E262" s="888"/>
      <c r="F262" s="888"/>
      <c r="G262" s="888"/>
    </row>
    <row r="263">
      <c r="A263" s="888"/>
      <c r="B263" s="888"/>
      <c r="C263" s="888"/>
      <c r="D263" s="888"/>
      <c r="E263" s="888"/>
      <c r="F263" s="888"/>
      <c r="G263" s="888"/>
    </row>
    <row r="264">
      <c r="A264" s="888"/>
      <c r="B264" s="888"/>
      <c r="C264" s="888"/>
      <c r="D264" s="888"/>
      <c r="E264" s="888"/>
      <c r="F264" s="888"/>
      <c r="G264" s="888"/>
    </row>
    <row r="265">
      <c r="A265" s="888"/>
      <c r="B265" s="888"/>
      <c r="C265" s="888"/>
      <c r="D265" s="888"/>
      <c r="E265" s="888"/>
      <c r="F265" s="888"/>
      <c r="G265" s="888"/>
    </row>
    <row r="266">
      <c r="A266" s="888"/>
      <c r="B266" s="888"/>
      <c r="C266" s="888"/>
      <c r="D266" s="888"/>
      <c r="E266" s="888"/>
      <c r="F266" s="888"/>
      <c r="G266" s="888"/>
    </row>
    <row r="267">
      <c r="A267" s="888"/>
      <c r="B267" s="888"/>
      <c r="C267" s="888"/>
      <c r="D267" s="888"/>
      <c r="E267" s="888"/>
      <c r="F267" s="888"/>
      <c r="G267" s="888"/>
    </row>
    <row r="268">
      <c r="A268" s="888"/>
      <c r="B268" s="888"/>
      <c r="C268" s="888"/>
      <c r="D268" s="888"/>
      <c r="E268" s="888"/>
      <c r="F268" s="888"/>
      <c r="G268" s="888"/>
    </row>
    <row r="269">
      <c r="A269" s="888"/>
      <c r="B269" s="888"/>
      <c r="C269" s="888"/>
      <c r="D269" s="888"/>
      <c r="E269" s="888"/>
      <c r="F269" s="888"/>
      <c r="G269" s="888"/>
    </row>
    <row r="270">
      <c r="A270" s="888"/>
      <c r="B270" s="888"/>
      <c r="C270" s="888"/>
      <c r="D270" s="888"/>
      <c r="E270" s="888"/>
      <c r="F270" s="888"/>
      <c r="G270" s="888"/>
    </row>
    <row r="271">
      <c r="A271" s="888"/>
      <c r="B271" s="888"/>
      <c r="C271" s="888"/>
      <c r="D271" s="888"/>
      <c r="E271" s="888"/>
      <c r="F271" s="888"/>
      <c r="G271" s="888"/>
    </row>
    <row r="272">
      <c r="A272" s="888"/>
      <c r="B272" s="888"/>
      <c r="C272" s="888"/>
      <c r="D272" s="888"/>
      <c r="E272" s="888"/>
      <c r="F272" s="888"/>
      <c r="G272" s="888"/>
    </row>
    <row r="273">
      <c r="A273" s="888"/>
      <c r="B273" s="888"/>
      <c r="C273" s="888"/>
      <c r="D273" s="888"/>
      <c r="E273" s="888"/>
      <c r="F273" s="888"/>
      <c r="G273" s="888"/>
    </row>
    <row r="274">
      <c r="A274" s="888"/>
      <c r="B274" s="888"/>
      <c r="C274" s="888"/>
      <c r="D274" s="888"/>
      <c r="E274" s="888"/>
      <c r="F274" s="888"/>
      <c r="G274" s="888"/>
    </row>
    <row r="275">
      <c r="A275" s="888"/>
      <c r="B275" s="888"/>
      <c r="C275" s="888"/>
      <c r="D275" s="888"/>
      <c r="E275" s="888"/>
      <c r="F275" s="888"/>
      <c r="G275" s="888"/>
    </row>
    <row r="276">
      <c r="A276" s="888"/>
      <c r="B276" s="888"/>
      <c r="C276" s="888"/>
      <c r="D276" s="888"/>
      <c r="E276" s="888"/>
      <c r="F276" s="888"/>
      <c r="G276" s="888"/>
    </row>
    <row r="277">
      <c r="A277" s="888"/>
      <c r="B277" s="888"/>
      <c r="C277" s="888"/>
      <c r="D277" s="888"/>
      <c r="E277" s="888"/>
      <c r="F277" s="888"/>
      <c r="G277" s="888"/>
    </row>
    <row r="278">
      <c r="A278" s="888"/>
      <c r="B278" s="888"/>
      <c r="C278" s="888"/>
      <c r="D278" s="888"/>
      <c r="E278" s="888"/>
      <c r="F278" s="888"/>
      <c r="G278" s="888"/>
    </row>
    <row r="279">
      <c r="A279" s="888"/>
      <c r="B279" s="888"/>
      <c r="C279" s="888"/>
      <c r="D279" s="888"/>
      <c r="E279" s="888"/>
      <c r="F279" s="888"/>
      <c r="G279" s="888"/>
    </row>
    <row r="280">
      <c r="A280" s="888"/>
      <c r="B280" s="888"/>
      <c r="C280" s="888"/>
      <c r="D280" s="888"/>
      <c r="E280" s="888"/>
      <c r="F280" s="888"/>
      <c r="G280" s="888"/>
    </row>
    <row r="281">
      <c r="A281" s="888"/>
      <c r="B281" s="888"/>
      <c r="C281" s="888"/>
      <c r="D281" s="888"/>
      <c r="E281" s="888"/>
      <c r="F281" s="888"/>
      <c r="G281" s="888"/>
    </row>
    <row r="282">
      <c r="A282" s="888"/>
      <c r="B282" s="888"/>
      <c r="C282" s="888"/>
      <c r="D282" s="888"/>
      <c r="E282" s="888"/>
      <c r="F282" s="888"/>
      <c r="G282" s="888"/>
    </row>
    <row r="283">
      <c r="A283" s="888"/>
      <c r="B283" s="888"/>
      <c r="C283" s="888"/>
      <c r="D283" s="888"/>
      <c r="E283" s="888"/>
      <c r="F283" s="888"/>
      <c r="G283" s="888"/>
    </row>
    <row r="284">
      <c r="A284" s="888"/>
      <c r="B284" s="888"/>
      <c r="C284" s="888"/>
      <c r="D284" s="888"/>
      <c r="E284" s="888"/>
      <c r="F284" s="888"/>
      <c r="G284" s="888"/>
    </row>
    <row r="285">
      <c r="A285" s="888"/>
      <c r="B285" s="888"/>
      <c r="C285" s="888"/>
      <c r="D285" s="888"/>
      <c r="E285" s="888"/>
      <c r="F285" s="888"/>
      <c r="G285" s="888"/>
    </row>
    <row r="286">
      <c r="A286" s="888"/>
      <c r="B286" s="888"/>
      <c r="C286" s="888"/>
      <c r="D286" s="888"/>
      <c r="E286" s="888"/>
      <c r="F286" s="888"/>
      <c r="G286" s="888"/>
    </row>
    <row r="287">
      <c r="A287" s="888"/>
      <c r="B287" s="888"/>
      <c r="C287" s="888"/>
      <c r="D287" s="888"/>
      <c r="E287" s="888"/>
      <c r="F287" s="888"/>
      <c r="G287" s="888"/>
    </row>
    <row r="288">
      <c r="A288" s="888"/>
      <c r="B288" s="888"/>
      <c r="C288" s="888"/>
      <c r="D288" s="888"/>
      <c r="E288" s="888"/>
      <c r="F288" s="888"/>
      <c r="G288" s="888"/>
    </row>
    <row r="289">
      <c r="A289" s="888"/>
      <c r="B289" s="888"/>
      <c r="C289" s="888"/>
      <c r="D289" s="888"/>
      <c r="E289" s="888"/>
      <c r="F289" s="888"/>
      <c r="G289" s="888"/>
    </row>
    <row r="290">
      <c r="A290" s="888"/>
      <c r="B290" s="888"/>
      <c r="C290" s="888"/>
      <c r="D290" s="888"/>
      <c r="E290" s="888"/>
      <c r="F290" s="888"/>
      <c r="G290" s="888"/>
    </row>
    <row r="291">
      <c r="A291" s="888"/>
      <c r="B291" s="888"/>
      <c r="C291" s="888"/>
      <c r="D291" s="888"/>
      <c r="E291" s="888"/>
      <c r="F291" s="888"/>
      <c r="G291" s="888"/>
    </row>
    <row r="292">
      <c r="A292" s="888"/>
      <c r="B292" s="888"/>
      <c r="C292" s="888"/>
      <c r="D292" s="888"/>
      <c r="E292" s="888"/>
      <c r="F292" s="888"/>
      <c r="G292" s="888"/>
    </row>
    <row r="293">
      <c r="A293" s="888"/>
      <c r="B293" s="888"/>
      <c r="C293" s="888"/>
      <c r="D293" s="888"/>
      <c r="E293" s="888"/>
      <c r="F293" s="888"/>
      <c r="G293" s="888"/>
    </row>
    <row r="294">
      <c r="A294" s="888"/>
      <c r="B294" s="888"/>
      <c r="C294" s="888"/>
      <c r="D294" s="888"/>
      <c r="E294" s="888"/>
      <c r="F294" s="888"/>
      <c r="G294" s="888"/>
    </row>
    <row r="295">
      <c r="A295" s="888"/>
      <c r="B295" s="888"/>
      <c r="C295" s="888"/>
      <c r="D295" s="888"/>
      <c r="E295" s="888"/>
      <c r="F295" s="888"/>
      <c r="G295" s="888"/>
    </row>
    <row r="296">
      <c r="A296" s="888"/>
      <c r="B296" s="888"/>
      <c r="C296" s="888"/>
      <c r="D296" s="888"/>
      <c r="E296" s="888"/>
      <c r="F296" s="888"/>
      <c r="G296" s="888"/>
    </row>
    <row r="297">
      <c r="A297" s="888"/>
      <c r="B297" s="888"/>
      <c r="C297" s="888"/>
      <c r="D297" s="888"/>
      <c r="E297" s="888"/>
      <c r="F297" s="888"/>
      <c r="G297" s="888"/>
    </row>
    <row r="298">
      <c r="A298" s="888"/>
      <c r="B298" s="888"/>
      <c r="C298" s="888"/>
      <c r="D298" s="888"/>
      <c r="E298" s="888"/>
      <c r="F298" s="888"/>
      <c r="G298" s="888"/>
    </row>
    <row r="299">
      <c r="A299" s="888"/>
      <c r="B299" s="888"/>
      <c r="C299" s="888"/>
      <c r="D299" s="888"/>
      <c r="E299" s="888"/>
      <c r="F299" s="888"/>
      <c r="G299" s="888"/>
    </row>
    <row r="300">
      <c r="A300" s="888"/>
      <c r="B300" s="888"/>
      <c r="C300" s="888"/>
      <c r="D300" s="888"/>
      <c r="E300" s="888"/>
      <c r="F300" s="888"/>
      <c r="G300" s="888"/>
    </row>
    <row r="301">
      <c r="A301" s="888"/>
      <c r="B301" s="888"/>
      <c r="C301" s="888"/>
      <c r="D301" s="888"/>
      <c r="E301" s="888"/>
      <c r="F301" s="888"/>
      <c r="G301" s="888"/>
    </row>
    <row r="302">
      <c r="A302" s="888"/>
      <c r="B302" s="888"/>
      <c r="C302" s="888"/>
      <c r="D302" s="888"/>
      <c r="E302" s="888"/>
      <c r="F302" s="888"/>
      <c r="G302" s="888"/>
    </row>
    <row r="303">
      <c r="A303" s="888"/>
      <c r="B303" s="888"/>
      <c r="C303" s="888"/>
      <c r="D303" s="888"/>
      <c r="E303" s="888"/>
      <c r="F303" s="888"/>
      <c r="G303" s="888"/>
    </row>
    <row r="304">
      <c r="A304" s="888"/>
      <c r="B304" s="888"/>
      <c r="C304" s="888"/>
      <c r="D304" s="888"/>
      <c r="E304" s="888"/>
      <c r="F304" s="888"/>
      <c r="G304" s="888"/>
    </row>
    <row r="305">
      <c r="A305" s="888"/>
      <c r="B305" s="888"/>
      <c r="C305" s="888"/>
      <c r="D305" s="888"/>
      <c r="E305" s="888"/>
      <c r="F305" s="888"/>
      <c r="G305" s="888"/>
    </row>
    <row r="306">
      <c r="A306" s="888"/>
      <c r="B306" s="888"/>
      <c r="C306" s="888"/>
      <c r="D306" s="888"/>
      <c r="E306" s="888"/>
      <c r="F306" s="888"/>
      <c r="G306" s="888"/>
    </row>
    <row r="307">
      <c r="A307" s="888"/>
      <c r="B307" s="888"/>
      <c r="C307" s="888"/>
      <c r="D307" s="888"/>
      <c r="E307" s="888"/>
      <c r="F307" s="888"/>
      <c r="G307" s="888"/>
    </row>
    <row r="308">
      <c r="A308" s="888"/>
      <c r="B308" s="888"/>
      <c r="C308" s="888"/>
      <c r="D308" s="888"/>
      <c r="E308" s="888"/>
      <c r="F308" s="888"/>
      <c r="G308" s="888"/>
    </row>
    <row r="309">
      <c r="A309" s="888"/>
      <c r="B309" s="888"/>
      <c r="C309" s="888"/>
      <c r="D309" s="888"/>
      <c r="E309" s="888"/>
      <c r="F309" s="888"/>
      <c r="G309" s="888"/>
    </row>
    <row r="310">
      <c r="A310" s="888"/>
      <c r="B310" s="888"/>
      <c r="C310" s="888"/>
      <c r="D310" s="888"/>
      <c r="E310" s="888"/>
      <c r="F310" s="888"/>
      <c r="G310" s="888"/>
    </row>
    <row r="311">
      <c r="A311" s="888"/>
      <c r="B311" s="888"/>
      <c r="C311" s="888"/>
      <c r="D311" s="888"/>
      <c r="E311" s="888"/>
      <c r="F311" s="888"/>
      <c r="G311" s="888"/>
    </row>
    <row r="312">
      <c r="A312" s="888"/>
      <c r="B312" s="888"/>
      <c r="C312" s="888"/>
      <c r="D312" s="888"/>
      <c r="E312" s="888"/>
      <c r="F312" s="888"/>
      <c r="G312" s="888"/>
    </row>
    <row r="313">
      <c r="A313" s="888"/>
      <c r="B313" s="888"/>
      <c r="C313" s="888"/>
      <c r="D313" s="888"/>
      <c r="E313" s="888"/>
      <c r="F313" s="888"/>
      <c r="G313" s="888"/>
    </row>
    <row r="314">
      <c r="A314" s="888"/>
      <c r="B314" s="888"/>
      <c r="C314" s="888"/>
      <c r="D314" s="888"/>
      <c r="E314" s="888"/>
      <c r="F314" s="888"/>
      <c r="G314" s="888"/>
    </row>
    <row r="315">
      <c r="A315" s="888"/>
      <c r="B315" s="888"/>
      <c r="C315" s="888"/>
      <c r="D315" s="888"/>
      <c r="E315" s="888"/>
      <c r="F315" s="888"/>
      <c r="G315" s="888"/>
    </row>
    <row r="316">
      <c r="A316" s="888"/>
      <c r="B316" s="888"/>
      <c r="C316" s="888"/>
      <c r="D316" s="888"/>
      <c r="E316" s="888"/>
      <c r="F316" s="888"/>
      <c r="G316" s="888"/>
    </row>
    <row r="317">
      <c r="A317" s="888"/>
      <c r="B317" s="888"/>
      <c r="C317" s="888"/>
      <c r="D317" s="888"/>
      <c r="E317" s="888"/>
      <c r="F317" s="888"/>
      <c r="G317" s="888"/>
    </row>
    <row r="318">
      <c r="A318" s="888"/>
      <c r="B318" s="888"/>
      <c r="C318" s="888"/>
      <c r="D318" s="888"/>
      <c r="E318" s="888"/>
      <c r="F318" s="888"/>
      <c r="G318" s="888"/>
    </row>
    <row r="319">
      <c r="A319" s="888"/>
      <c r="B319" s="888"/>
      <c r="C319" s="888"/>
      <c r="D319" s="888"/>
      <c r="E319" s="888"/>
      <c r="F319" s="888"/>
      <c r="G319" s="888"/>
    </row>
    <row r="320">
      <c r="A320" s="888"/>
      <c r="B320" s="888"/>
      <c r="C320" s="888"/>
      <c r="D320" s="888"/>
      <c r="E320" s="888"/>
      <c r="F320" s="888"/>
      <c r="G320" s="888"/>
    </row>
    <row r="321">
      <c r="A321" s="888"/>
      <c r="B321" s="888"/>
      <c r="C321" s="888"/>
      <c r="D321" s="888"/>
      <c r="E321" s="888"/>
      <c r="F321" s="888"/>
      <c r="G321" s="888"/>
    </row>
    <row r="322">
      <c r="A322" s="888"/>
      <c r="B322" s="888"/>
      <c r="C322" s="888"/>
      <c r="D322" s="888"/>
      <c r="E322" s="888"/>
      <c r="F322" s="888"/>
      <c r="G322" s="888"/>
    </row>
    <row r="323">
      <c r="A323" s="888"/>
      <c r="B323" s="888"/>
      <c r="C323" s="888"/>
      <c r="D323" s="888"/>
      <c r="E323" s="888"/>
      <c r="F323" s="888"/>
      <c r="G323" s="888"/>
    </row>
    <row r="324">
      <c r="A324" s="888"/>
      <c r="B324" s="888"/>
      <c r="C324" s="888"/>
      <c r="D324" s="888"/>
      <c r="E324" s="888"/>
      <c r="F324" s="888"/>
      <c r="G324" s="888"/>
    </row>
    <row r="325">
      <c r="A325" s="888"/>
      <c r="B325" s="888"/>
      <c r="C325" s="888"/>
      <c r="D325" s="888"/>
      <c r="E325" s="888"/>
      <c r="F325" s="888"/>
      <c r="G325" s="888"/>
    </row>
    <row r="326">
      <c r="A326" s="888"/>
      <c r="B326" s="888"/>
      <c r="C326" s="888"/>
      <c r="D326" s="888"/>
      <c r="E326" s="888"/>
      <c r="F326" s="888"/>
      <c r="G326" s="888"/>
    </row>
    <row r="327">
      <c r="A327" s="888"/>
      <c r="B327" s="888"/>
      <c r="C327" s="888"/>
      <c r="D327" s="888"/>
      <c r="E327" s="888"/>
      <c r="F327" s="888"/>
      <c r="G327" s="888"/>
    </row>
    <row r="328">
      <c r="A328" s="888"/>
      <c r="B328" s="888"/>
      <c r="C328" s="888"/>
      <c r="D328" s="888"/>
      <c r="E328" s="888"/>
      <c r="F328" s="888"/>
      <c r="G328" s="888"/>
    </row>
    <row r="329">
      <c r="A329" s="888"/>
      <c r="B329" s="888"/>
      <c r="C329" s="888"/>
      <c r="D329" s="888"/>
      <c r="E329" s="888"/>
      <c r="F329" s="888"/>
      <c r="G329" s="888"/>
    </row>
    <row r="330">
      <c r="A330" s="888"/>
      <c r="B330" s="888"/>
      <c r="C330" s="888"/>
      <c r="D330" s="888"/>
      <c r="E330" s="888"/>
      <c r="F330" s="888"/>
      <c r="G330" s="888"/>
    </row>
    <row r="331">
      <c r="A331" s="888"/>
      <c r="B331" s="888"/>
      <c r="C331" s="888"/>
      <c r="D331" s="888"/>
      <c r="E331" s="888"/>
      <c r="F331" s="888"/>
      <c r="G331" s="888"/>
    </row>
    <row r="332">
      <c r="A332" s="888"/>
      <c r="B332" s="888"/>
      <c r="C332" s="888"/>
      <c r="D332" s="888"/>
      <c r="E332" s="888"/>
      <c r="F332" s="888"/>
      <c r="G332" s="888"/>
    </row>
    <row r="333">
      <c r="A333" s="888"/>
      <c r="B333" s="888"/>
      <c r="C333" s="888"/>
      <c r="D333" s="888"/>
      <c r="E333" s="888"/>
      <c r="F333" s="888"/>
      <c r="G333" s="888"/>
    </row>
    <row r="334">
      <c r="A334" s="888"/>
      <c r="B334" s="888"/>
      <c r="C334" s="888"/>
      <c r="D334" s="888"/>
      <c r="E334" s="888"/>
      <c r="F334" s="888"/>
      <c r="G334" s="888"/>
    </row>
    <row r="335">
      <c r="A335" s="888"/>
      <c r="B335" s="888"/>
      <c r="C335" s="888"/>
      <c r="D335" s="888"/>
      <c r="E335" s="888"/>
      <c r="F335" s="888"/>
      <c r="G335" s="888"/>
    </row>
    <row r="336">
      <c r="A336" s="888"/>
      <c r="B336" s="888"/>
      <c r="C336" s="888"/>
      <c r="D336" s="888"/>
      <c r="E336" s="888"/>
      <c r="F336" s="888"/>
      <c r="G336" s="888"/>
    </row>
    <row r="337">
      <c r="A337" s="888"/>
      <c r="B337" s="888"/>
      <c r="C337" s="888"/>
      <c r="D337" s="888"/>
      <c r="E337" s="888"/>
      <c r="F337" s="888"/>
      <c r="G337" s="888"/>
    </row>
    <row r="338">
      <c r="A338" s="888"/>
      <c r="B338" s="888"/>
      <c r="C338" s="888"/>
      <c r="D338" s="888"/>
      <c r="E338" s="888"/>
      <c r="F338" s="888"/>
      <c r="G338" s="888"/>
    </row>
    <row r="339">
      <c r="A339" s="888"/>
      <c r="B339" s="888"/>
      <c r="C339" s="888"/>
      <c r="D339" s="888"/>
      <c r="E339" s="888"/>
      <c r="F339" s="888"/>
      <c r="G339" s="888"/>
    </row>
    <row r="340">
      <c r="A340" s="888"/>
      <c r="B340" s="888"/>
      <c r="C340" s="888"/>
      <c r="D340" s="888"/>
      <c r="E340" s="888"/>
      <c r="F340" s="888"/>
      <c r="G340" s="888"/>
    </row>
    <row r="341">
      <c r="A341" s="888"/>
      <c r="B341" s="888"/>
      <c r="C341" s="888"/>
      <c r="D341" s="888"/>
      <c r="E341" s="888"/>
      <c r="F341" s="888"/>
      <c r="G341" s="888"/>
    </row>
    <row r="342">
      <c r="A342" s="888"/>
      <c r="B342" s="888"/>
      <c r="C342" s="888"/>
      <c r="D342" s="888"/>
      <c r="E342" s="888"/>
      <c r="F342" s="888"/>
      <c r="G342" s="888"/>
    </row>
    <row r="343">
      <c r="A343" s="888"/>
      <c r="B343" s="888"/>
      <c r="C343" s="888"/>
      <c r="D343" s="888"/>
      <c r="E343" s="888"/>
      <c r="F343" s="888"/>
      <c r="G343" s="888"/>
    </row>
    <row r="344">
      <c r="A344" s="888"/>
      <c r="B344" s="888"/>
      <c r="C344" s="888"/>
      <c r="D344" s="888"/>
      <c r="E344" s="888"/>
      <c r="F344" s="888"/>
      <c r="G344" s="888"/>
    </row>
    <row r="345">
      <c r="A345" s="888"/>
      <c r="B345" s="888"/>
      <c r="C345" s="888"/>
      <c r="D345" s="888"/>
      <c r="E345" s="888"/>
      <c r="F345" s="888"/>
      <c r="G345" s="888"/>
    </row>
    <row r="346">
      <c r="A346" s="888"/>
      <c r="B346" s="888"/>
      <c r="C346" s="888"/>
      <c r="D346" s="888"/>
      <c r="E346" s="888"/>
      <c r="F346" s="888"/>
      <c r="G346" s="888"/>
    </row>
    <row r="347">
      <c r="A347" s="888"/>
      <c r="B347" s="888"/>
      <c r="C347" s="888"/>
      <c r="D347" s="888"/>
      <c r="E347" s="888"/>
      <c r="F347" s="888"/>
      <c r="G347" s="888"/>
    </row>
    <row r="348">
      <c r="A348" s="888"/>
      <c r="B348" s="888"/>
      <c r="C348" s="888"/>
      <c r="D348" s="888"/>
      <c r="E348" s="888"/>
      <c r="F348" s="888"/>
      <c r="G348" s="888"/>
    </row>
    <row r="349">
      <c r="A349" s="888"/>
      <c r="B349" s="888"/>
      <c r="C349" s="888"/>
      <c r="D349" s="888"/>
      <c r="E349" s="888"/>
      <c r="F349" s="888"/>
      <c r="G349" s="888"/>
    </row>
    <row r="350">
      <c r="A350" s="888"/>
      <c r="B350" s="888"/>
      <c r="C350" s="888"/>
      <c r="D350" s="888"/>
      <c r="E350" s="888"/>
      <c r="F350" s="888"/>
      <c r="G350" s="888"/>
    </row>
    <row r="351">
      <c r="A351" s="888"/>
      <c r="B351" s="888"/>
      <c r="C351" s="888"/>
      <c r="D351" s="888"/>
      <c r="E351" s="888"/>
      <c r="F351" s="888"/>
      <c r="G351" s="888"/>
    </row>
    <row r="352">
      <c r="A352" s="888"/>
      <c r="B352" s="888"/>
      <c r="C352" s="888"/>
      <c r="D352" s="888"/>
      <c r="E352" s="888"/>
      <c r="F352" s="888"/>
      <c r="G352" s="888"/>
    </row>
    <row r="353">
      <c r="A353" s="888"/>
      <c r="B353" s="888"/>
      <c r="C353" s="888"/>
      <c r="D353" s="888"/>
      <c r="E353" s="888"/>
      <c r="F353" s="888"/>
      <c r="G353" s="888"/>
    </row>
    <row r="354">
      <c r="A354" s="888"/>
      <c r="B354" s="888"/>
      <c r="C354" s="888"/>
      <c r="D354" s="888"/>
      <c r="E354" s="888"/>
      <c r="F354" s="888"/>
      <c r="G354" s="888"/>
    </row>
    <row r="355">
      <c r="A355" s="888"/>
      <c r="B355" s="888"/>
      <c r="C355" s="888"/>
      <c r="D355" s="888"/>
      <c r="E355" s="888"/>
      <c r="F355" s="888"/>
      <c r="G355" s="888"/>
    </row>
    <row r="356">
      <c r="A356" s="888"/>
      <c r="B356" s="888"/>
      <c r="C356" s="888"/>
      <c r="D356" s="888"/>
      <c r="E356" s="888"/>
      <c r="F356" s="888"/>
      <c r="G356" s="888"/>
    </row>
    <row r="357">
      <c r="A357" s="888"/>
      <c r="B357" s="888"/>
      <c r="C357" s="888"/>
      <c r="D357" s="888"/>
      <c r="E357" s="888"/>
      <c r="F357" s="888"/>
      <c r="G357" s="888"/>
    </row>
    <row r="358">
      <c r="A358" s="888"/>
      <c r="B358" s="888"/>
      <c r="C358" s="888"/>
      <c r="D358" s="888"/>
      <c r="E358" s="888"/>
      <c r="F358" s="888"/>
      <c r="G358" s="888"/>
    </row>
    <row r="359">
      <c r="A359" s="888"/>
      <c r="B359" s="888"/>
      <c r="C359" s="888"/>
      <c r="D359" s="888"/>
      <c r="E359" s="888"/>
      <c r="F359" s="888"/>
      <c r="G359" s="888"/>
    </row>
    <row r="360">
      <c r="A360" s="888"/>
      <c r="B360" s="888"/>
      <c r="C360" s="888"/>
      <c r="D360" s="888"/>
      <c r="E360" s="888"/>
      <c r="F360" s="888"/>
      <c r="G360" s="888"/>
    </row>
    <row r="361">
      <c r="A361" s="888"/>
      <c r="B361" s="888"/>
      <c r="C361" s="888"/>
      <c r="D361" s="888"/>
      <c r="E361" s="888"/>
      <c r="F361" s="888"/>
      <c r="G361" s="888"/>
    </row>
    <row r="362">
      <c r="A362" s="888"/>
      <c r="B362" s="888"/>
      <c r="C362" s="888"/>
      <c r="D362" s="888"/>
      <c r="E362" s="888"/>
      <c r="F362" s="888"/>
      <c r="G362" s="888"/>
    </row>
    <row r="363">
      <c r="A363" s="888"/>
      <c r="B363" s="888"/>
      <c r="C363" s="888"/>
      <c r="D363" s="888"/>
      <c r="E363" s="888"/>
      <c r="F363" s="888"/>
      <c r="G363" s="888"/>
    </row>
    <row r="364">
      <c r="A364" s="888"/>
      <c r="B364" s="888"/>
      <c r="C364" s="888"/>
      <c r="D364" s="888"/>
      <c r="E364" s="888"/>
      <c r="F364" s="888"/>
      <c r="G364" s="888"/>
    </row>
    <row r="365">
      <c r="A365" s="888"/>
      <c r="B365" s="888"/>
      <c r="C365" s="888"/>
      <c r="D365" s="888"/>
      <c r="E365" s="888"/>
      <c r="F365" s="888"/>
      <c r="G365" s="888"/>
    </row>
    <row r="366">
      <c r="A366" s="888"/>
      <c r="B366" s="888"/>
      <c r="C366" s="888"/>
      <c r="D366" s="888"/>
      <c r="E366" s="888"/>
      <c r="F366" s="888"/>
      <c r="G366" s="888"/>
    </row>
    <row r="367">
      <c r="A367" s="888"/>
      <c r="B367" s="888"/>
      <c r="C367" s="888"/>
      <c r="D367" s="888"/>
      <c r="E367" s="888"/>
      <c r="F367" s="888"/>
      <c r="G367" s="888"/>
    </row>
    <row r="368">
      <c r="A368" s="888"/>
      <c r="B368" s="888"/>
      <c r="C368" s="888"/>
      <c r="D368" s="888"/>
      <c r="E368" s="888"/>
      <c r="F368" s="888"/>
      <c r="G368" s="888"/>
    </row>
    <row r="369">
      <c r="A369" s="888"/>
      <c r="B369" s="888"/>
      <c r="C369" s="888"/>
      <c r="D369" s="888"/>
      <c r="E369" s="888"/>
      <c r="F369" s="888"/>
      <c r="G369" s="888"/>
    </row>
    <row r="370">
      <c r="A370" s="888"/>
      <c r="B370" s="888"/>
      <c r="C370" s="888"/>
      <c r="D370" s="888"/>
      <c r="E370" s="888"/>
      <c r="F370" s="888"/>
      <c r="G370" s="888"/>
    </row>
    <row r="371">
      <c r="A371" s="888"/>
      <c r="B371" s="888"/>
      <c r="C371" s="888"/>
      <c r="D371" s="888"/>
      <c r="E371" s="888"/>
      <c r="F371" s="888"/>
      <c r="G371" s="888"/>
    </row>
    <row r="372">
      <c r="A372" s="888"/>
      <c r="B372" s="888"/>
      <c r="C372" s="888"/>
      <c r="D372" s="888"/>
      <c r="E372" s="888"/>
      <c r="F372" s="888"/>
      <c r="G372" s="888"/>
    </row>
    <row r="373">
      <c r="A373" s="888"/>
      <c r="B373" s="888"/>
      <c r="C373" s="888"/>
      <c r="D373" s="888"/>
      <c r="E373" s="888"/>
      <c r="F373" s="888"/>
      <c r="G373" s="888"/>
    </row>
    <row r="374">
      <c r="A374" s="888"/>
      <c r="B374" s="888"/>
      <c r="C374" s="888"/>
      <c r="D374" s="888"/>
      <c r="E374" s="888"/>
      <c r="F374" s="888"/>
      <c r="G374" s="888"/>
    </row>
    <row r="375">
      <c r="A375" s="888"/>
      <c r="B375" s="888"/>
      <c r="C375" s="888"/>
      <c r="D375" s="888"/>
      <c r="E375" s="888"/>
      <c r="F375" s="888"/>
      <c r="G375" s="888"/>
    </row>
    <row r="376">
      <c r="A376" s="888"/>
      <c r="B376" s="888"/>
      <c r="C376" s="888"/>
      <c r="D376" s="888"/>
      <c r="E376" s="888"/>
      <c r="F376" s="888"/>
      <c r="G376" s="888"/>
    </row>
    <row r="377">
      <c r="A377" s="888"/>
      <c r="B377" s="888"/>
      <c r="C377" s="888"/>
      <c r="D377" s="888"/>
      <c r="E377" s="888"/>
      <c r="F377" s="888"/>
      <c r="G377" s="888"/>
    </row>
    <row r="378">
      <c r="A378" s="888"/>
      <c r="B378" s="888"/>
      <c r="C378" s="888"/>
      <c r="D378" s="888"/>
      <c r="E378" s="888"/>
      <c r="F378" s="888"/>
      <c r="G378" s="888"/>
    </row>
    <row r="379">
      <c r="A379" s="888"/>
      <c r="B379" s="888"/>
      <c r="C379" s="888"/>
      <c r="D379" s="888"/>
      <c r="E379" s="888"/>
      <c r="F379" s="888"/>
      <c r="G379" s="888"/>
    </row>
    <row r="380">
      <c r="A380" s="888"/>
      <c r="B380" s="888"/>
      <c r="C380" s="888"/>
      <c r="D380" s="888"/>
      <c r="E380" s="888"/>
      <c r="F380" s="888"/>
      <c r="G380" s="888"/>
    </row>
    <row r="381">
      <c r="A381" s="888"/>
      <c r="B381" s="888"/>
      <c r="C381" s="888"/>
      <c r="D381" s="888"/>
      <c r="E381" s="888"/>
      <c r="F381" s="888"/>
      <c r="G381" s="888"/>
    </row>
    <row r="382">
      <c r="A382" s="888"/>
      <c r="B382" s="888"/>
      <c r="C382" s="888"/>
      <c r="D382" s="888"/>
      <c r="E382" s="888"/>
      <c r="F382" s="888"/>
      <c r="G382" s="888"/>
    </row>
    <row r="383">
      <c r="A383" s="888"/>
      <c r="B383" s="888"/>
      <c r="C383" s="888"/>
      <c r="D383" s="888"/>
      <c r="E383" s="888"/>
      <c r="F383" s="888"/>
      <c r="G383" s="888"/>
    </row>
    <row r="384">
      <c r="A384" s="888"/>
      <c r="B384" s="888"/>
      <c r="C384" s="888"/>
      <c r="D384" s="888"/>
      <c r="E384" s="888"/>
      <c r="F384" s="888"/>
      <c r="G384" s="888"/>
    </row>
    <row r="385">
      <c r="A385" s="888"/>
      <c r="B385" s="888"/>
      <c r="C385" s="888"/>
      <c r="D385" s="888"/>
      <c r="E385" s="888"/>
      <c r="F385" s="888"/>
      <c r="G385" s="888"/>
    </row>
    <row r="386">
      <c r="A386" s="888"/>
      <c r="B386" s="888"/>
      <c r="C386" s="888"/>
      <c r="D386" s="888"/>
      <c r="E386" s="888"/>
      <c r="F386" s="888"/>
      <c r="G386" s="888"/>
    </row>
    <row r="387">
      <c r="A387" s="888"/>
      <c r="B387" s="888"/>
      <c r="C387" s="888"/>
      <c r="D387" s="888"/>
      <c r="E387" s="888"/>
      <c r="F387" s="888"/>
      <c r="G387" s="888"/>
    </row>
    <row r="388">
      <c r="A388" s="888"/>
      <c r="B388" s="888"/>
      <c r="C388" s="888"/>
      <c r="D388" s="888"/>
      <c r="E388" s="888"/>
      <c r="F388" s="888"/>
      <c r="G388" s="888"/>
    </row>
    <row r="389">
      <c r="A389" s="888"/>
      <c r="B389" s="888"/>
      <c r="C389" s="888"/>
      <c r="D389" s="888"/>
      <c r="E389" s="888"/>
      <c r="F389" s="888"/>
      <c r="G389" s="888"/>
    </row>
    <row r="390">
      <c r="A390" s="888"/>
      <c r="B390" s="888"/>
      <c r="C390" s="888"/>
      <c r="D390" s="888"/>
      <c r="E390" s="888"/>
      <c r="F390" s="888"/>
      <c r="G390" s="888"/>
    </row>
    <row r="391">
      <c r="A391" s="888"/>
      <c r="B391" s="888"/>
      <c r="C391" s="888"/>
      <c r="D391" s="888"/>
      <c r="E391" s="888"/>
      <c r="F391" s="888"/>
      <c r="G391" s="888"/>
    </row>
    <row r="392">
      <c r="A392" s="888"/>
      <c r="B392" s="888"/>
      <c r="C392" s="888"/>
      <c r="D392" s="888"/>
      <c r="E392" s="888"/>
      <c r="F392" s="888"/>
      <c r="G392" s="888"/>
    </row>
    <row r="393">
      <c r="A393" s="888"/>
      <c r="B393" s="888"/>
      <c r="C393" s="888"/>
      <c r="D393" s="888"/>
      <c r="E393" s="888"/>
      <c r="F393" s="888"/>
      <c r="G393" s="888"/>
    </row>
    <row r="394">
      <c r="A394" s="888"/>
      <c r="B394" s="888"/>
      <c r="C394" s="888"/>
      <c r="D394" s="888"/>
      <c r="E394" s="888"/>
      <c r="F394" s="888"/>
      <c r="G394" s="888"/>
    </row>
    <row r="395">
      <c r="A395" s="888"/>
      <c r="B395" s="888"/>
      <c r="C395" s="888"/>
      <c r="D395" s="888"/>
      <c r="E395" s="888"/>
      <c r="F395" s="888"/>
      <c r="G395" s="888"/>
    </row>
    <row r="396">
      <c r="A396" s="888"/>
      <c r="B396" s="888"/>
      <c r="C396" s="888"/>
      <c r="D396" s="888"/>
      <c r="E396" s="888"/>
      <c r="F396" s="888"/>
      <c r="G396" s="888"/>
    </row>
    <row r="397">
      <c r="A397" s="888"/>
      <c r="B397" s="888"/>
      <c r="C397" s="888"/>
      <c r="D397" s="888"/>
      <c r="E397" s="888"/>
      <c r="F397" s="888"/>
      <c r="G397" s="888"/>
    </row>
    <row r="398">
      <c r="A398" s="888"/>
      <c r="B398" s="888"/>
      <c r="C398" s="888"/>
      <c r="D398" s="888"/>
      <c r="E398" s="888"/>
      <c r="F398" s="888"/>
      <c r="G398" s="888"/>
    </row>
    <row r="399">
      <c r="A399" s="888"/>
      <c r="B399" s="888"/>
      <c r="C399" s="888"/>
      <c r="D399" s="888"/>
      <c r="E399" s="888"/>
      <c r="F399" s="888"/>
      <c r="G399" s="888"/>
    </row>
    <row r="400">
      <c r="A400" s="888"/>
      <c r="B400" s="888"/>
      <c r="C400" s="888"/>
      <c r="D400" s="888"/>
      <c r="E400" s="888"/>
      <c r="F400" s="888"/>
      <c r="G400" s="888"/>
    </row>
    <row r="401">
      <c r="A401" s="888"/>
      <c r="B401" s="888"/>
      <c r="C401" s="888"/>
      <c r="D401" s="888"/>
      <c r="E401" s="888"/>
      <c r="F401" s="888"/>
      <c r="G401" s="888"/>
    </row>
    <row r="402">
      <c r="A402" s="888"/>
      <c r="B402" s="888"/>
      <c r="C402" s="888"/>
      <c r="D402" s="888"/>
      <c r="E402" s="888"/>
      <c r="F402" s="888"/>
      <c r="G402" s="888"/>
    </row>
    <row r="403">
      <c r="A403" s="888"/>
      <c r="B403" s="888"/>
      <c r="C403" s="888"/>
      <c r="D403" s="888"/>
      <c r="E403" s="888"/>
      <c r="F403" s="888"/>
      <c r="G403" s="888"/>
    </row>
    <row r="404">
      <c r="A404" s="888"/>
      <c r="B404" s="888"/>
      <c r="C404" s="888"/>
      <c r="D404" s="888"/>
      <c r="E404" s="888"/>
      <c r="F404" s="888"/>
      <c r="G404" s="888"/>
    </row>
    <row r="405">
      <c r="A405" s="888"/>
      <c r="B405" s="888"/>
      <c r="C405" s="888"/>
      <c r="D405" s="888"/>
      <c r="E405" s="888"/>
      <c r="F405" s="888"/>
      <c r="G405" s="888"/>
    </row>
    <row r="406">
      <c r="A406" s="888"/>
      <c r="B406" s="888"/>
      <c r="C406" s="888"/>
      <c r="D406" s="888"/>
      <c r="E406" s="888"/>
      <c r="F406" s="888"/>
      <c r="G406" s="888"/>
    </row>
    <row r="407">
      <c r="A407" s="888"/>
      <c r="B407" s="888"/>
      <c r="C407" s="888"/>
      <c r="D407" s="888"/>
      <c r="E407" s="888"/>
      <c r="F407" s="888"/>
      <c r="G407" s="888"/>
    </row>
    <row r="408">
      <c r="A408" s="888"/>
      <c r="B408" s="888"/>
      <c r="C408" s="888"/>
      <c r="D408" s="888"/>
      <c r="E408" s="888"/>
      <c r="F408" s="888"/>
      <c r="G408" s="888"/>
    </row>
    <row r="409">
      <c r="A409" s="888"/>
      <c r="B409" s="888"/>
      <c r="C409" s="888"/>
      <c r="D409" s="888"/>
      <c r="E409" s="888"/>
      <c r="F409" s="888"/>
      <c r="G409" s="888"/>
    </row>
    <row r="410">
      <c r="A410" s="888"/>
      <c r="B410" s="888"/>
      <c r="C410" s="888"/>
      <c r="D410" s="888"/>
      <c r="E410" s="888"/>
      <c r="F410" s="888"/>
      <c r="G410" s="888"/>
    </row>
    <row r="411">
      <c r="A411" s="888"/>
      <c r="B411" s="888"/>
      <c r="C411" s="888"/>
      <c r="D411" s="888"/>
      <c r="E411" s="888"/>
      <c r="F411" s="888"/>
      <c r="G411" s="888"/>
    </row>
    <row r="412">
      <c r="A412" s="888"/>
      <c r="B412" s="888"/>
      <c r="C412" s="888"/>
      <c r="D412" s="888"/>
      <c r="E412" s="888"/>
      <c r="F412" s="888"/>
      <c r="G412" s="888"/>
    </row>
    <row r="413">
      <c r="A413" s="888"/>
      <c r="B413" s="888"/>
      <c r="C413" s="888"/>
      <c r="D413" s="888"/>
      <c r="E413" s="888"/>
      <c r="F413" s="888"/>
      <c r="G413" s="888"/>
    </row>
    <row r="414">
      <c r="A414" s="888"/>
      <c r="B414" s="888"/>
      <c r="C414" s="888"/>
      <c r="D414" s="888"/>
      <c r="E414" s="888"/>
      <c r="F414" s="888"/>
      <c r="G414" s="888"/>
    </row>
    <row r="415">
      <c r="A415" s="888"/>
      <c r="B415" s="888"/>
      <c r="C415" s="888"/>
      <c r="D415" s="888"/>
      <c r="E415" s="888"/>
      <c r="F415" s="888"/>
      <c r="G415" s="888"/>
    </row>
    <row r="416">
      <c r="A416" s="888"/>
      <c r="B416" s="888"/>
      <c r="C416" s="888"/>
      <c r="D416" s="888"/>
      <c r="E416" s="888"/>
      <c r="F416" s="888"/>
      <c r="G416" s="888"/>
    </row>
    <row r="417">
      <c r="A417" s="888"/>
      <c r="B417" s="888"/>
      <c r="C417" s="888"/>
      <c r="D417" s="888"/>
      <c r="E417" s="888"/>
      <c r="F417" s="888"/>
      <c r="G417" s="888"/>
    </row>
    <row r="418">
      <c r="A418" s="888"/>
      <c r="B418" s="888"/>
      <c r="C418" s="888"/>
      <c r="D418" s="888"/>
      <c r="E418" s="888"/>
      <c r="F418" s="888"/>
      <c r="G418" s="888"/>
    </row>
    <row r="419">
      <c r="A419" s="888"/>
      <c r="B419" s="888"/>
      <c r="C419" s="888"/>
      <c r="D419" s="888"/>
      <c r="E419" s="888"/>
      <c r="F419" s="888"/>
      <c r="G419" s="888"/>
    </row>
    <row r="420">
      <c r="A420" s="888"/>
      <c r="B420" s="888"/>
      <c r="C420" s="888"/>
      <c r="D420" s="888"/>
      <c r="E420" s="888"/>
      <c r="F420" s="888"/>
      <c r="G420" s="888"/>
    </row>
    <row r="421">
      <c r="A421" s="888"/>
      <c r="B421" s="888"/>
      <c r="C421" s="888"/>
      <c r="D421" s="888"/>
      <c r="E421" s="888"/>
      <c r="F421" s="888"/>
      <c r="G421" s="888"/>
    </row>
    <row r="422">
      <c r="A422" s="888"/>
      <c r="B422" s="888"/>
      <c r="C422" s="888"/>
      <c r="D422" s="888"/>
      <c r="E422" s="888"/>
      <c r="F422" s="888"/>
      <c r="G422" s="888"/>
    </row>
    <row r="423">
      <c r="A423" s="888"/>
      <c r="B423" s="888"/>
      <c r="C423" s="888"/>
      <c r="D423" s="888"/>
      <c r="E423" s="888"/>
      <c r="F423" s="888"/>
      <c r="G423" s="888"/>
    </row>
    <row r="424">
      <c r="A424" s="888"/>
      <c r="B424" s="888"/>
      <c r="C424" s="888"/>
      <c r="D424" s="888"/>
      <c r="E424" s="888"/>
      <c r="F424" s="888"/>
      <c r="G424" s="888"/>
    </row>
    <row r="425">
      <c r="A425" s="888"/>
      <c r="B425" s="888"/>
      <c r="C425" s="888"/>
      <c r="D425" s="888"/>
      <c r="E425" s="888"/>
      <c r="F425" s="888"/>
      <c r="G425" s="888"/>
    </row>
    <row r="426">
      <c r="A426" s="888"/>
      <c r="B426" s="888"/>
      <c r="C426" s="888"/>
      <c r="D426" s="888"/>
      <c r="E426" s="888"/>
      <c r="F426" s="888"/>
      <c r="G426" s="888"/>
    </row>
    <row r="427">
      <c r="A427" s="888"/>
      <c r="B427" s="888"/>
      <c r="C427" s="888"/>
      <c r="D427" s="888"/>
      <c r="E427" s="888"/>
      <c r="F427" s="888"/>
      <c r="G427" s="888"/>
    </row>
    <row r="428">
      <c r="A428" s="888"/>
      <c r="B428" s="888"/>
      <c r="C428" s="888"/>
      <c r="D428" s="888"/>
      <c r="E428" s="888"/>
      <c r="F428" s="888"/>
      <c r="G428" s="888"/>
    </row>
    <row r="429">
      <c r="A429" s="888"/>
      <c r="B429" s="888"/>
      <c r="C429" s="888"/>
      <c r="D429" s="888"/>
      <c r="E429" s="888"/>
      <c r="F429" s="888"/>
      <c r="G429" s="888"/>
    </row>
    <row r="430">
      <c r="A430" s="888"/>
      <c r="B430" s="888"/>
      <c r="C430" s="888"/>
      <c r="D430" s="888"/>
      <c r="E430" s="888"/>
      <c r="F430" s="888"/>
      <c r="G430" s="888"/>
    </row>
    <row r="431">
      <c r="A431" s="888"/>
      <c r="B431" s="888"/>
      <c r="C431" s="888"/>
      <c r="D431" s="888"/>
      <c r="E431" s="888"/>
      <c r="F431" s="888"/>
      <c r="G431" s="888"/>
    </row>
    <row r="432">
      <c r="A432" s="888"/>
      <c r="B432" s="888"/>
      <c r="C432" s="888"/>
      <c r="D432" s="888"/>
      <c r="E432" s="888"/>
      <c r="F432" s="888"/>
      <c r="G432" s="888"/>
    </row>
    <row r="433">
      <c r="A433" s="888"/>
      <c r="B433" s="888"/>
      <c r="C433" s="888"/>
      <c r="D433" s="888"/>
      <c r="E433" s="888"/>
      <c r="F433" s="888"/>
      <c r="G433" s="888"/>
    </row>
    <row r="434">
      <c r="A434" s="888"/>
      <c r="B434" s="888"/>
      <c r="C434" s="888"/>
      <c r="D434" s="888"/>
      <c r="E434" s="888"/>
      <c r="F434" s="888"/>
      <c r="G434" s="888"/>
    </row>
    <row r="435">
      <c r="A435" s="888"/>
      <c r="B435" s="888"/>
      <c r="C435" s="888"/>
      <c r="D435" s="888"/>
      <c r="E435" s="888"/>
      <c r="F435" s="888"/>
      <c r="G435" s="888"/>
    </row>
    <row r="436">
      <c r="A436" s="888"/>
      <c r="B436" s="888"/>
      <c r="C436" s="888"/>
      <c r="D436" s="888"/>
      <c r="E436" s="888"/>
      <c r="F436" s="888"/>
      <c r="G436" s="888"/>
    </row>
    <row r="437">
      <c r="A437" s="888"/>
      <c r="B437" s="888"/>
      <c r="C437" s="888"/>
      <c r="D437" s="888"/>
      <c r="E437" s="888"/>
      <c r="F437" s="888"/>
      <c r="G437" s="888"/>
    </row>
    <row r="438">
      <c r="A438" s="888"/>
      <c r="B438" s="888"/>
      <c r="C438" s="888"/>
      <c r="D438" s="888"/>
      <c r="E438" s="888"/>
      <c r="F438" s="888"/>
      <c r="G438" s="888"/>
    </row>
    <row r="439">
      <c r="A439" s="888"/>
      <c r="B439" s="888"/>
      <c r="C439" s="888"/>
      <c r="D439" s="888"/>
      <c r="E439" s="888"/>
      <c r="F439" s="888"/>
      <c r="G439" s="888"/>
    </row>
    <row r="440">
      <c r="A440" s="888"/>
      <c r="B440" s="888"/>
      <c r="C440" s="888"/>
      <c r="D440" s="888"/>
      <c r="E440" s="888"/>
      <c r="F440" s="888"/>
      <c r="G440" s="888"/>
    </row>
    <row r="441">
      <c r="A441" s="888"/>
      <c r="B441" s="888"/>
      <c r="C441" s="888"/>
      <c r="D441" s="888"/>
      <c r="E441" s="888"/>
      <c r="F441" s="888"/>
      <c r="G441" s="888"/>
    </row>
    <row r="442">
      <c r="A442" s="888"/>
      <c r="B442" s="888"/>
      <c r="C442" s="888"/>
      <c r="D442" s="888"/>
      <c r="E442" s="888"/>
      <c r="F442" s="888"/>
      <c r="G442" s="888"/>
    </row>
    <row r="443">
      <c r="A443" s="888"/>
      <c r="B443" s="888"/>
      <c r="C443" s="888"/>
      <c r="D443" s="888"/>
      <c r="E443" s="888"/>
      <c r="F443" s="888"/>
      <c r="G443" s="888"/>
    </row>
    <row r="444">
      <c r="A444" s="888"/>
      <c r="B444" s="888"/>
      <c r="C444" s="888"/>
      <c r="D444" s="888"/>
      <c r="E444" s="888"/>
      <c r="F444" s="888"/>
      <c r="G444" s="888"/>
    </row>
    <row r="445">
      <c r="A445" s="888"/>
      <c r="B445" s="888"/>
      <c r="C445" s="888"/>
      <c r="D445" s="888"/>
      <c r="E445" s="888"/>
      <c r="F445" s="888"/>
      <c r="G445" s="888"/>
    </row>
    <row r="446">
      <c r="A446" s="888"/>
      <c r="B446" s="888"/>
      <c r="C446" s="888"/>
      <c r="D446" s="888"/>
      <c r="E446" s="888"/>
      <c r="F446" s="888"/>
      <c r="G446" s="888"/>
    </row>
    <row r="447">
      <c r="A447" s="888"/>
      <c r="B447" s="888"/>
      <c r="C447" s="888"/>
      <c r="D447" s="888"/>
      <c r="E447" s="888"/>
      <c r="F447" s="888"/>
      <c r="G447" s="888"/>
    </row>
    <row r="448">
      <c r="A448" s="888"/>
      <c r="B448" s="888"/>
      <c r="C448" s="888"/>
      <c r="D448" s="888"/>
      <c r="E448" s="888"/>
      <c r="F448" s="888"/>
      <c r="G448" s="888"/>
    </row>
    <row r="449">
      <c r="A449" s="888"/>
      <c r="B449" s="888"/>
      <c r="C449" s="888"/>
      <c r="D449" s="888"/>
      <c r="E449" s="888"/>
      <c r="F449" s="888"/>
      <c r="G449" s="888"/>
    </row>
    <row r="450">
      <c r="A450" s="888"/>
      <c r="B450" s="888"/>
      <c r="C450" s="888"/>
      <c r="D450" s="888"/>
      <c r="E450" s="888"/>
      <c r="F450" s="888"/>
      <c r="G450" s="888"/>
    </row>
    <row r="451">
      <c r="A451" s="888"/>
      <c r="B451" s="888"/>
      <c r="C451" s="888"/>
      <c r="D451" s="888"/>
      <c r="E451" s="888"/>
      <c r="F451" s="888"/>
      <c r="G451" s="888"/>
    </row>
    <row r="452">
      <c r="A452" s="888"/>
      <c r="B452" s="888"/>
      <c r="C452" s="888"/>
      <c r="D452" s="888"/>
      <c r="E452" s="888"/>
      <c r="F452" s="888"/>
      <c r="G452" s="888"/>
    </row>
    <row r="453">
      <c r="A453" s="888"/>
      <c r="B453" s="888"/>
      <c r="C453" s="888"/>
      <c r="D453" s="888"/>
      <c r="E453" s="888"/>
      <c r="F453" s="888"/>
      <c r="G453" s="888"/>
    </row>
    <row r="454">
      <c r="A454" s="888"/>
      <c r="B454" s="888"/>
      <c r="C454" s="888"/>
      <c r="D454" s="888"/>
      <c r="E454" s="888"/>
      <c r="F454" s="888"/>
      <c r="G454" s="888"/>
    </row>
    <row r="455">
      <c r="A455" s="888"/>
      <c r="B455" s="888"/>
      <c r="C455" s="888"/>
      <c r="D455" s="888"/>
      <c r="E455" s="888"/>
      <c r="F455" s="888"/>
      <c r="G455" s="888"/>
    </row>
    <row r="456">
      <c r="A456" s="888"/>
      <c r="B456" s="888"/>
      <c r="C456" s="888"/>
      <c r="D456" s="888"/>
      <c r="E456" s="888"/>
      <c r="F456" s="888"/>
      <c r="G456" s="888"/>
    </row>
    <row r="457">
      <c r="A457" s="888"/>
      <c r="B457" s="888"/>
      <c r="C457" s="888"/>
      <c r="D457" s="888"/>
      <c r="E457" s="888"/>
      <c r="F457" s="888"/>
      <c r="G457" s="888"/>
    </row>
    <row r="458">
      <c r="A458" s="888"/>
      <c r="B458" s="888"/>
      <c r="C458" s="888"/>
      <c r="D458" s="888"/>
      <c r="E458" s="888"/>
      <c r="F458" s="888"/>
      <c r="G458" s="888"/>
    </row>
    <row r="459">
      <c r="A459" s="888"/>
      <c r="B459" s="888"/>
      <c r="C459" s="888"/>
      <c r="D459" s="888"/>
      <c r="E459" s="888"/>
      <c r="F459" s="888"/>
      <c r="G459" s="888"/>
    </row>
    <row r="460">
      <c r="A460" s="888"/>
      <c r="B460" s="888"/>
      <c r="C460" s="888"/>
      <c r="D460" s="888"/>
      <c r="E460" s="888"/>
      <c r="F460" s="888"/>
      <c r="G460" s="888"/>
    </row>
    <row r="461">
      <c r="A461" s="888"/>
      <c r="B461" s="888"/>
      <c r="C461" s="888"/>
      <c r="D461" s="888"/>
      <c r="E461" s="888"/>
      <c r="F461" s="888"/>
      <c r="G461" s="888"/>
    </row>
    <row r="462">
      <c r="A462" s="888"/>
      <c r="B462" s="888"/>
      <c r="C462" s="888"/>
      <c r="D462" s="888"/>
      <c r="E462" s="888"/>
      <c r="F462" s="888"/>
      <c r="G462" s="888"/>
    </row>
    <row r="463">
      <c r="A463" s="888"/>
      <c r="B463" s="888"/>
      <c r="C463" s="888"/>
      <c r="D463" s="888"/>
      <c r="E463" s="888"/>
      <c r="F463" s="888"/>
      <c r="G463" s="888"/>
    </row>
    <row r="464">
      <c r="A464" s="888"/>
      <c r="B464" s="888"/>
      <c r="C464" s="888"/>
      <c r="D464" s="888"/>
      <c r="E464" s="888"/>
      <c r="F464" s="888"/>
      <c r="G464" s="888"/>
    </row>
    <row r="465">
      <c r="A465" s="888"/>
      <c r="B465" s="888"/>
      <c r="C465" s="888"/>
      <c r="D465" s="888"/>
      <c r="E465" s="888"/>
      <c r="F465" s="888"/>
      <c r="G465" s="888"/>
    </row>
    <row r="466">
      <c r="A466" s="888"/>
      <c r="B466" s="888"/>
      <c r="C466" s="888"/>
      <c r="D466" s="888"/>
      <c r="E466" s="888"/>
      <c r="F466" s="888"/>
      <c r="G466" s="888"/>
    </row>
    <row r="467">
      <c r="A467" s="888"/>
      <c r="B467" s="888"/>
      <c r="C467" s="888"/>
      <c r="D467" s="888"/>
      <c r="E467" s="888"/>
      <c r="F467" s="888"/>
      <c r="G467" s="888"/>
    </row>
    <row r="468">
      <c r="A468" s="888"/>
      <c r="B468" s="888"/>
      <c r="C468" s="888"/>
      <c r="D468" s="888"/>
      <c r="E468" s="888"/>
      <c r="F468" s="888"/>
      <c r="G468" s="888"/>
    </row>
    <row r="469">
      <c r="A469" s="888"/>
      <c r="B469" s="888"/>
      <c r="C469" s="888"/>
      <c r="D469" s="888"/>
      <c r="E469" s="888"/>
      <c r="F469" s="888"/>
      <c r="G469" s="888"/>
    </row>
    <row r="470">
      <c r="A470" s="888"/>
      <c r="B470" s="888"/>
      <c r="C470" s="888"/>
      <c r="D470" s="888"/>
      <c r="E470" s="888"/>
      <c r="F470" s="888"/>
      <c r="G470" s="888"/>
    </row>
    <row r="471">
      <c r="A471" s="888"/>
      <c r="B471" s="888"/>
      <c r="C471" s="888"/>
      <c r="D471" s="888"/>
      <c r="E471" s="888"/>
      <c r="F471" s="888"/>
      <c r="G471" s="888"/>
    </row>
    <row r="472">
      <c r="A472" s="888"/>
      <c r="B472" s="888"/>
      <c r="C472" s="888"/>
      <c r="D472" s="888"/>
      <c r="E472" s="888"/>
      <c r="F472" s="888"/>
      <c r="G472" s="888"/>
    </row>
    <row r="473">
      <c r="A473" s="888"/>
      <c r="B473" s="888"/>
      <c r="C473" s="888"/>
      <c r="D473" s="888"/>
      <c r="E473" s="888"/>
      <c r="F473" s="888"/>
      <c r="G473" s="888"/>
    </row>
    <row r="474">
      <c r="A474" s="888"/>
      <c r="B474" s="888"/>
      <c r="C474" s="888"/>
      <c r="D474" s="888"/>
      <c r="E474" s="888"/>
      <c r="F474" s="888"/>
      <c r="G474" s="888"/>
    </row>
    <row r="475">
      <c r="A475" s="888"/>
      <c r="B475" s="888"/>
      <c r="C475" s="888"/>
      <c r="D475" s="888"/>
      <c r="E475" s="888"/>
      <c r="F475" s="888"/>
      <c r="G475" s="888"/>
    </row>
    <row r="476">
      <c r="A476" s="888"/>
      <c r="B476" s="888"/>
      <c r="C476" s="888"/>
      <c r="D476" s="888"/>
      <c r="E476" s="888"/>
      <c r="F476" s="888"/>
      <c r="G476" s="888"/>
    </row>
    <row r="477">
      <c r="A477" s="888"/>
      <c r="B477" s="888"/>
      <c r="C477" s="888"/>
      <c r="D477" s="888"/>
      <c r="E477" s="888"/>
      <c r="F477" s="888"/>
      <c r="G477" s="888"/>
    </row>
    <row r="478">
      <c r="A478" s="888"/>
      <c r="B478" s="888"/>
      <c r="C478" s="888"/>
      <c r="D478" s="888"/>
      <c r="E478" s="888"/>
      <c r="F478" s="888"/>
      <c r="G478" s="888"/>
    </row>
    <row r="479">
      <c r="A479" s="888"/>
      <c r="B479" s="888"/>
      <c r="C479" s="888"/>
      <c r="D479" s="888"/>
      <c r="E479" s="888"/>
      <c r="F479" s="888"/>
      <c r="G479" s="888"/>
    </row>
    <row r="480">
      <c r="A480" s="888"/>
      <c r="B480" s="888"/>
      <c r="C480" s="888"/>
      <c r="D480" s="888"/>
      <c r="E480" s="888"/>
      <c r="F480" s="888"/>
      <c r="G480" s="888"/>
    </row>
    <row r="481">
      <c r="A481" s="888"/>
      <c r="B481" s="888"/>
      <c r="C481" s="888"/>
      <c r="D481" s="888"/>
      <c r="E481" s="888"/>
      <c r="F481" s="888"/>
      <c r="G481" s="888"/>
    </row>
    <row r="482">
      <c r="A482" s="888"/>
      <c r="B482" s="888"/>
      <c r="C482" s="888"/>
      <c r="D482" s="888"/>
      <c r="E482" s="888"/>
      <c r="F482" s="888"/>
      <c r="G482" s="888"/>
    </row>
    <row r="483">
      <c r="A483" s="888"/>
      <c r="B483" s="888"/>
      <c r="C483" s="888"/>
      <c r="D483" s="888"/>
      <c r="E483" s="888"/>
      <c r="F483" s="888"/>
      <c r="G483" s="888"/>
    </row>
    <row r="484">
      <c r="A484" s="888"/>
      <c r="B484" s="888"/>
      <c r="C484" s="888"/>
      <c r="D484" s="888"/>
      <c r="E484" s="888"/>
      <c r="F484" s="888"/>
      <c r="G484" s="888"/>
    </row>
    <row r="485">
      <c r="A485" s="888"/>
      <c r="B485" s="888"/>
      <c r="C485" s="888"/>
      <c r="D485" s="888"/>
      <c r="E485" s="888"/>
      <c r="F485" s="888"/>
      <c r="G485" s="888"/>
    </row>
    <row r="486">
      <c r="A486" s="888"/>
      <c r="B486" s="888"/>
      <c r="C486" s="888"/>
      <c r="D486" s="888"/>
      <c r="E486" s="888"/>
      <c r="F486" s="888"/>
      <c r="G486" s="888"/>
    </row>
    <row r="487">
      <c r="A487" s="888"/>
      <c r="B487" s="888"/>
      <c r="C487" s="888"/>
      <c r="D487" s="888"/>
      <c r="E487" s="888"/>
      <c r="F487" s="888"/>
      <c r="G487" s="888"/>
    </row>
    <row r="488">
      <c r="A488" s="888"/>
      <c r="B488" s="888"/>
      <c r="C488" s="888"/>
      <c r="D488" s="888"/>
      <c r="E488" s="888"/>
      <c r="F488" s="888"/>
      <c r="G488" s="888"/>
    </row>
    <row r="489">
      <c r="A489" s="888"/>
      <c r="B489" s="888"/>
      <c r="C489" s="888"/>
      <c r="D489" s="888"/>
      <c r="E489" s="888"/>
      <c r="F489" s="888"/>
      <c r="G489" s="888"/>
    </row>
    <row r="490">
      <c r="A490" s="888"/>
      <c r="B490" s="888"/>
      <c r="C490" s="888"/>
      <c r="D490" s="888"/>
      <c r="E490" s="888"/>
      <c r="F490" s="888"/>
      <c r="G490" s="888"/>
    </row>
    <row r="491">
      <c r="A491" s="888"/>
      <c r="B491" s="888"/>
      <c r="C491" s="888"/>
      <c r="D491" s="888"/>
      <c r="E491" s="888"/>
      <c r="F491" s="888"/>
      <c r="G491" s="888"/>
    </row>
    <row r="492">
      <c r="A492" s="888"/>
      <c r="B492" s="888"/>
      <c r="C492" s="888"/>
      <c r="D492" s="888"/>
      <c r="E492" s="888"/>
      <c r="F492" s="888"/>
      <c r="G492" s="888"/>
    </row>
    <row r="493">
      <c r="A493" s="888"/>
      <c r="B493" s="888"/>
      <c r="C493" s="888"/>
      <c r="D493" s="888"/>
      <c r="E493" s="888"/>
      <c r="F493" s="888"/>
      <c r="G493" s="888"/>
    </row>
    <row r="494">
      <c r="A494" s="888"/>
      <c r="B494" s="888"/>
      <c r="C494" s="888"/>
      <c r="D494" s="888"/>
      <c r="E494" s="888"/>
      <c r="F494" s="888"/>
      <c r="G494" s="888"/>
    </row>
    <row r="495">
      <c r="A495" s="888"/>
      <c r="B495" s="888"/>
      <c r="C495" s="888"/>
      <c r="D495" s="888"/>
      <c r="E495" s="888"/>
      <c r="F495" s="888"/>
      <c r="G495" s="888"/>
    </row>
    <row r="496">
      <c r="A496" s="888"/>
      <c r="B496" s="888"/>
      <c r="C496" s="888"/>
      <c r="D496" s="888"/>
      <c r="E496" s="888"/>
      <c r="F496" s="888"/>
      <c r="G496" s="888"/>
    </row>
    <row r="497">
      <c r="A497" s="888"/>
      <c r="B497" s="888"/>
      <c r="C497" s="888"/>
      <c r="D497" s="888"/>
      <c r="E497" s="888"/>
      <c r="F497" s="888"/>
      <c r="G497" s="888"/>
    </row>
    <row r="498">
      <c r="A498" s="888"/>
      <c r="B498" s="888"/>
      <c r="C498" s="888"/>
      <c r="D498" s="888"/>
      <c r="E498" s="888"/>
      <c r="F498" s="888"/>
      <c r="G498" s="888"/>
    </row>
    <row r="499">
      <c r="A499" s="888"/>
      <c r="B499" s="888"/>
      <c r="C499" s="888"/>
      <c r="D499" s="888"/>
      <c r="E499" s="888"/>
      <c r="F499" s="888"/>
      <c r="G499" s="888"/>
    </row>
    <row r="500">
      <c r="A500" s="888"/>
      <c r="B500" s="888"/>
      <c r="C500" s="888"/>
      <c r="D500" s="888"/>
      <c r="E500" s="888"/>
      <c r="F500" s="888"/>
      <c r="G500" s="888"/>
    </row>
    <row r="501">
      <c r="A501" s="888"/>
      <c r="B501" s="888"/>
      <c r="C501" s="888"/>
      <c r="D501" s="888"/>
      <c r="E501" s="888"/>
      <c r="F501" s="888"/>
      <c r="G501" s="888"/>
    </row>
    <row r="502">
      <c r="A502" s="888"/>
      <c r="B502" s="888"/>
      <c r="C502" s="888"/>
      <c r="D502" s="888"/>
      <c r="E502" s="888"/>
      <c r="F502" s="888"/>
      <c r="G502" s="888"/>
    </row>
    <row r="503">
      <c r="A503" s="888"/>
      <c r="B503" s="888"/>
      <c r="C503" s="888"/>
      <c r="D503" s="888"/>
      <c r="E503" s="888"/>
      <c r="F503" s="888"/>
      <c r="G503" s="888"/>
    </row>
    <row r="504">
      <c r="A504" s="888"/>
      <c r="B504" s="888"/>
      <c r="C504" s="888"/>
      <c r="D504" s="888"/>
      <c r="E504" s="888"/>
      <c r="F504" s="888"/>
      <c r="G504" s="888"/>
    </row>
    <row r="505">
      <c r="A505" s="888"/>
      <c r="B505" s="888"/>
      <c r="C505" s="888"/>
      <c r="D505" s="888"/>
      <c r="E505" s="888"/>
      <c r="F505" s="888"/>
      <c r="G505" s="888"/>
    </row>
    <row r="506">
      <c r="A506" s="888"/>
      <c r="B506" s="888"/>
      <c r="C506" s="888"/>
      <c r="D506" s="888"/>
      <c r="E506" s="888"/>
      <c r="F506" s="888"/>
      <c r="G506" s="888"/>
    </row>
    <row r="507">
      <c r="A507" s="888"/>
      <c r="B507" s="888"/>
      <c r="C507" s="888"/>
      <c r="D507" s="888"/>
      <c r="E507" s="888"/>
      <c r="F507" s="888"/>
      <c r="G507" s="888"/>
    </row>
    <row r="508">
      <c r="A508" s="888"/>
      <c r="B508" s="888"/>
      <c r="C508" s="888"/>
      <c r="D508" s="888"/>
      <c r="E508" s="888"/>
      <c r="F508" s="888"/>
      <c r="G508" s="888"/>
    </row>
    <row r="509">
      <c r="A509" s="888"/>
      <c r="B509" s="888"/>
      <c r="C509" s="888"/>
      <c r="D509" s="888"/>
      <c r="E509" s="888"/>
      <c r="F509" s="888"/>
      <c r="G509" s="888"/>
    </row>
    <row r="510">
      <c r="A510" s="888"/>
      <c r="B510" s="888"/>
      <c r="C510" s="888"/>
      <c r="D510" s="888"/>
      <c r="E510" s="888"/>
      <c r="F510" s="888"/>
      <c r="G510" s="888"/>
    </row>
    <row r="511">
      <c r="A511" s="888"/>
      <c r="B511" s="888"/>
      <c r="C511" s="888"/>
      <c r="D511" s="888"/>
      <c r="E511" s="888"/>
      <c r="F511" s="888"/>
      <c r="G511" s="888"/>
    </row>
    <row r="512">
      <c r="A512" s="888"/>
      <c r="B512" s="888"/>
      <c r="C512" s="888"/>
      <c r="D512" s="888"/>
      <c r="E512" s="888"/>
      <c r="F512" s="888"/>
      <c r="G512" s="888"/>
    </row>
    <row r="513">
      <c r="A513" s="888"/>
      <c r="B513" s="888"/>
      <c r="C513" s="888"/>
      <c r="D513" s="888"/>
      <c r="E513" s="888"/>
      <c r="F513" s="888"/>
      <c r="G513" s="888"/>
    </row>
    <row r="514">
      <c r="A514" s="888"/>
      <c r="B514" s="888"/>
      <c r="C514" s="888"/>
      <c r="D514" s="888"/>
      <c r="E514" s="888"/>
      <c r="F514" s="888"/>
      <c r="G514" s="888"/>
    </row>
    <row r="515">
      <c r="A515" s="888"/>
      <c r="B515" s="888"/>
      <c r="C515" s="888"/>
      <c r="D515" s="888"/>
      <c r="E515" s="888"/>
      <c r="F515" s="888"/>
      <c r="G515" s="888"/>
    </row>
    <row r="516">
      <c r="A516" s="888"/>
      <c r="B516" s="888"/>
      <c r="C516" s="888"/>
      <c r="D516" s="888"/>
      <c r="E516" s="888"/>
      <c r="F516" s="888"/>
      <c r="G516" s="888"/>
    </row>
    <row r="517">
      <c r="A517" s="888"/>
      <c r="B517" s="888"/>
      <c r="C517" s="888"/>
      <c r="D517" s="888"/>
      <c r="E517" s="888"/>
      <c r="F517" s="888"/>
      <c r="G517" s="888"/>
    </row>
    <row r="518">
      <c r="A518" s="888"/>
      <c r="B518" s="888"/>
      <c r="C518" s="888"/>
      <c r="D518" s="888"/>
      <c r="E518" s="888"/>
      <c r="F518" s="888"/>
      <c r="G518" s="888"/>
    </row>
    <row r="519">
      <c r="A519" s="888"/>
      <c r="B519" s="888"/>
      <c r="C519" s="888"/>
      <c r="D519" s="888"/>
      <c r="E519" s="888"/>
      <c r="F519" s="888"/>
      <c r="G519" s="888"/>
    </row>
    <row r="520">
      <c r="A520" s="888"/>
      <c r="B520" s="888"/>
      <c r="C520" s="888"/>
      <c r="D520" s="888"/>
      <c r="E520" s="888"/>
      <c r="F520" s="888"/>
      <c r="G520" s="888"/>
    </row>
    <row r="521">
      <c r="A521" s="888"/>
      <c r="B521" s="888"/>
      <c r="C521" s="888"/>
      <c r="D521" s="888"/>
      <c r="E521" s="888"/>
      <c r="F521" s="888"/>
      <c r="G521" s="888"/>
    </row>
    <row r="522">
      <c r="A522" s="888"/>
      <c r="B522" s="888"/>
      <c r="C522" s="888"/>
      <c r="D522" s="888"/>
      <c r="E522" s="888"/>
      <c r="F522" s="888"/>
      <c r="G522" s="888"/>
    </row>
    <row r="523">
      <c r="A523" s="888"/>
      <c r="B523" s="888"/>
      <c r="C523" s="888"/>
      <c r="D523" s="888"/>
      <c r="E523" s="888"/>
      <c r="F523" s="888"/>
      <c r="G523" s="888"/>
    </row>
    <row r="524">
      <c r="A524" s="888"/>
      <c r="B524" s="888"/>
      <c r="C524" s="888"/>
      <c r="D524" s="888"/>
      <c r="E524" s="888"/>
      <c r="F524" s="888"/>
      <c r="G524" s="888"/>
    </row>
    <row r="525">
      <c r="A525" s="888"/>
      <c r="B525" s="888"/>
      <c r="C525" s="888"/>
      <c r="D525" s="888"/>
      <c r="E525" s="888"/>
      <c r="F525" s="888"/>
      <c r="G525" s="888"/>
    </row>
    <row r="526">
      <c r="A526" s="888"/>
      <c r="B526" s="888"/>
      <c r="C526" s="888"/>
      <c r="D526" s="888"/>
      <c r="E526" s="888"/>
      <c r="F526" s="888"/>
      <c r="G526" s="888"/>
    </row>
    <row r="527">
      <c r="A527" s="888"/>
      <c r="B527" s="888"/>
      <c r="C527" s="888"/>
      <c r="D527" s="888"/>
      <c r="E527" s="888"/>
      <c r="F527" s="888"/>
      <c r="G527" s="888"/>
    </row>
    <row r="528">
      <c r="A528" s="888"/>
      <c r="B528" s="888"/>
      <c r="C528" s="888"/>
      <c r="D528" s="888"/>
      <c r="E528" s="888"/>
      <c r="F528" s="888"/>
      <c r="G528" s="888"/>
    </row>
    <row r="529">
      <c r="A529" s="888"/>
      <c r="B529" s="888"/>
      <c r="C529" s="888"/>
      <c r="D529" s="888"/>
      <c r="E529" s="888"/>
      <c r="F529" s="888"/>
      <c r="G529" s="888"/>
    </row>
    <row r="530">
      <c r="A530" s="888"/>
      <c r="B530" s="888"/>
      <c r="C530" s="888"/>
      <c r="D530" s="888"/>
      <c r="E530" s="888"/>
      <c r="F530" s="888"/>
      <c r="G530" s="888"/>
    </row>
    <row r="531">
      <c r="A531" s="888"/>
      <c r="B531" s="888"/>
      <c r="C531" s="888"/>
      <c r="D531" s="888"/>
      <c r="E531" s="888"/>
      <c r="F531" s="888"/>
      <c r="G531" s="888"/>
    </row>
    <row r="532">
      <c r="A532" s="888"/>
      <c r="B532" s="888"/>
      <c r="C532" s="888"/>
      <c r="D532" s="888"/>
      <c r="E532" s="888"/>
      <c r="F532" s="888"/>
      <c r="G532" s="888"/>
    </row>
    <row r="533">
      <c r="A533" s="888"/>
      <c r="B533" s="888"/>
      <c r="C533" s="888"/>
      <c r="D533" s="888"/>
      <c r="E533" s="888"/>
      <c r="F533" s="888"/>
      <c r="G533" s="888"/>
    </row>
    <row r="534">
      <c r="A534" s="888"/>
      <c r="B534" s="888"/>
      <c r="C534" s="888"/>
      <c r="D534" s="888"/>
      <c r="E534" s="888"/>
      <c r="F534" s="888"/>
      <c r="G534" s="888"/>
    </row>
    <row r="535">
      <c r="A535" s="888"/>
      <c r="B535" s="888"/>
      <c r="C535" s="888"/>
      <c r="D535" s="888"/>
      <c r="E535" s="888"/>
      <c r="F535" s="888"/>
      <c r="G535" s="888"/>
    </row>
    <row r="536">
      <c r="A536" s="888"/>
      <c r="B536" s="888"/>
      <c r="C536" s="888"/>
      <c r="D536" s="888"/>
      <c r="E536" s="888"/>
      <c r="F536" s="888"/>
      <c r="G536" s="888"/>
    </row>
    <row r="537">
      <c r="A537" s="888"/>
      <c r="B537" s="888"/>
      <c r="C537" s="888"/>
      <c r="D537" s="888"/>
      <c r="E537" s="888"/>
      <c r="F537" s="888"/>
      <c r="G537" s="888"/>
    </row>
    <row r="538">
      <c r="A538" s="888"/>
      <c r="B538" s="888"/>
      <c r="C538" s="888"/>
      <c r="D538" s="888"/>
      <c r="E538" s="888"/>
      <c r="F538" s="888"/>
      <c r="G538" s="888"/>
    </row>
    <row r="539">
      <c r="A539" s="888"/>
      <c r="B539" s="888"/>
      <c r="C539" s="888"/>
      <c r="D539" s="888"/>
      <c r="E539" s="888"/>
      <c r="F539" s="888"/>
      <c r="G539" s="888"/>
    </row>
    <row r="540">
      <c r="A540" s="888"/>
      <c r="B540" s="888"/>
      <c r="C540" s="888"/>
      <c r="D540" s="888"/>
      <c r="E540" s="888"/>
      <c r="F540" s="888"/>
      <c r="G540" s="888"/>
    </row>
    <row r="541">
      <c r="A541" s="888"/>
      <c r="B541" s="888"/>
      <c r="C541" s="888"/>
      <c r="D541" s="888"/>
      <c r="E541" s="888"/>
      <c r="F541" s="888"/>
      <c r="G541" s="888"/>
    </row>
    <row r="542">
      <c r="A542" s="888"/>
      <c r="B542" s="888"/>
      <c r="C542" s="888"/>
      <c r="D542" s="888"/>
      <c r="E542" s="888"/>
      <c r="F542" s="888"/>
      <c r="G542" s="888"/>
    </row>
    <row r="543">
      <c r="A543" s="888"/>
      <c r="B543" s="888"/>
      <c r="C543" s="888"/>
      <c r="D543" s="888"/>
      <c r="E543" s="888"/>
      <c r="F543" s="888"/>
      <c r="G543" s="888"/>
    </row>
    <row r="544">
      <c r="A544" s="888"/>
      <c r="B544" s="888"/>
      <c r="C544" s="888"/>
      <c r="D544" s="888"/>
      <c r="E544" s="888"/>
      <c r="F544" s="888"/>
      <c r="G544" s="888"/>
    </row>
    <row r="545">
      <c r="A545" s="888"/>
      <c r="B545" s="888"/>
      <c r="C545" s="888"/>
      <c r="D545" s="888"/>
      <c r="E545" s="888"/>
      <c r="F545" s="888"/>
      <c r="G545" s="888"/>
    </row>
    <row r="546">
      <c r="A546" s="888"/>
      <c r="B546" s="888"/>
      <c r="C546" s="888"/>
      <c r="D546" s="888"/>
      <c r="E546" s="888"/>
      <c r="F546" s="888"/>
      <c r="G546" s="888"/>
    </row>
    <row r="547">
      <c r="A547" s="888"/>
      <c r="B547" s="888"/>
      <c r="C547" s="888"/>
      <c r="D547" s="888"/>
      <c r="E547" s="888"/>
      <c r="F547" s="888"/>
      <c r="G547" s="888"/>
    </row>
    <row r="548">
      <c r="A548" s="888"/>
      <c r="B548" s="888"/>
      <c r="C548" s="888"/>
      <c r="D548" s="888"/>
      <c r="E548" s="888"/>
      <c r="F548" s="888"/>
      <c r="G548" s="888"/>
    </row>
    <row r="549">
      <c r="A549" s="888"/>
      <c r="B549" s="888"/>
      <c r="C549" s="888"/>
      <c r="D549" s="888"/>
      <c r="E549" s="888"/>
      <c r="F549" s="888"/>
      <c r="G549" s="888"/>
    </row>
    <row r="550">
      <c r="A550" s="888"/>
      <c r="B550" s="888"/>
      <c r="C550" s="888"/>
      <c r="D550" s="888"/>
      <c r="E550" s="888"/>
      <c r="F550" s="888"/>
      <c r="G550" s="888"/>
    </row>
    <row r="551">
      <c r="A551" s="888"/>
      <c r="B551" s="888"/>
      <c r="C551" s="888"/>
      <c r="D551" s="888"/>
      <c r="E551" s="888"/>
      <c r="F551" s="888"/>
      <c r="G551" s="888"/>
    </row>
    <row r="552">
      <c r="A552" s="888"/>
      <c r="B552" s="888"/>
      <c r="C552" s="888"/>
      <c r="D552" s="888"/>
      <c r="E552" s="888"/>
      <c r="F552" s="888"/>
      <c r="G552" s="888"/>
    </row>
    <row r="553">
      <c r="A553" s="888"/>
      <c r="B553" s="888"/>
      <c r="C553" s="888"/>
      <c r="D553" s="888"/>
      <c r="E553" s="888"/>
      <c r="F553" s="888"/>
      <c r="G553" s="888"/>
    </row>
    <row r="554">
      <c r="A554" s="888"/>
      <c r="B554" s="888"/>
      <c r="C554" s="888"/>
      <c r="D554" s="888"/>
      <c r="E554" s="888"/>
      <c r="F554" s="888"/>
      <c r="G554" s="888"/>
    </row>
    <row r="555">
      <c r="A555" s="888"/>
      <c r="B555" s="888"/>
      <c r="C555" s="888"/>
      <c r="D555" s="888"/>
      <c r="E555" s="888"/>
      <c r="F555" s="888"/>
      <c r="G555" s="888"/>
    </row>
    <row r="556">
      <c r="A556" s="888"/>
      <c r="B556" s="888"/>
      <c r="C556" s="888"/>
      <c r="D556" s="888"/>
      <c r="E556" s="888"/>
      <c r="F556" s="888"/>
      <c r="G556" s="888"/>
    </row>
    <row r="557">
      <c r="A557" s="888"/>
      <c r="B557" s="888"/>
      <c r="C557" s="888"/>
      <c r="D557" s="888"/>
      <c r="E557" s="888"/>
      <c r="F557" s="888"/>
      <c r="G557" s="888"/>
    </row>
    <row r="558">
      <c r="A558" s="888"/>
      <c r="B558" s="888"/>
      <c r="C558" s="888"/>
      <c r="D558" s="888"/>
      <c r="E558" s="888"/>
      <c r="F558" s="888"/>
      <c r="G558" s="888"/>
    </row>
    <row r="559">
      <c r="A559" s="888"/>
      <c r="B559" s="888"/>
      <c r="C559" s="888"/>
      <c r="D559" s="888"/>
      <c r="E559" s="888"/>
      <c r="F559" s="888"/>
      <c r="G559" s="888"/>
    </row>
    <row r="560">
      <c r="A560" s="888"/>
      <c r="B560" s="888"/>
      <c r="C560" s="888"/>
      <c r="D560" s="888"/>
      <c r="E560" s="888"/>
      <c r="F560" s="888"/>
      <c r="G560" s="888"/>
    </row>
    <row r="561">
      <c r="A561" s="888"/>
      <c r="B561" s="888"/>
      <c r="C561" s="888"/>
      <c r="D561" s="888"/>
      <c r="E561" s="888"/>
      <c r="F561" s="888"/>
      <c r="G561" s="888"/>
    </row>
    <row r="562">
      <c r="A562" s="888"/>
      <c r="B562" s="888"/>
      <c r="C562" s="888"/>
      <c r="D562" s="888"/>
      <c r="E562" s="888"/>
      <c r="F562" s="888"/>
      <c r="G562" s="888"/>
    </row>
    <row r="563">
      <c r="A563" s="888"/>
      <c r="B563" s="888"/>
      <c r="C563" s="888"/>
      <c r="D563" s="888"/>
      <c r="E563" s="888"/>
      <c r="F563" s="888"/>
      <c r="G563" s="888"/>
    </row>
    <row r="564">
      <c r="A564" s="888"/>
      <c r="B564" s="888"/>
      <c r="C564" s="888"/>
      <c r="D564" s="888"/>
      <c r="E564" s="888"/>
      <c r="F564" s="888"/>
      <c r="G564" s="888"/>
    </row>
    <row r="565">
      <c r="A565" s="888"/>
      <c r="B565" s="888"/>
      <c r="C565" s="888"/>
      <c r="D565" s="888"/>
      <c r="E565" s="888"/>
      <c r="F565" s="888"/>
      <c r="G565" s="888"/>
    </row>
    <row r="566">
      <c r="A566" s="888"/>
      <c r="B566" s="888"/>
      <c r="C566" s="888"/>
      <c r="D566" s="888"/>
      <c r="E566" s="888"/>
      <c r="F566" s="888"/>
      <c r="G566" s="888"/>
    </row>
    <row r="567">
      <c r="A567" s="888"/>
      <c r="B567" s="888"/>
      <c r="C567" s="888"/>
      <c r="D567" s="888"/>
      <c r="E567" s="888"/>
      <c r="F567" s="888"/>
      <c r="G567" s="888"/>
    </row>
    <row r="568">
      <c r="A568" s="888"/>
      <c r="B568" s="888"/>
      <c r="C568" s="888"/>
      <c r="D568" s="888"/>
      <c r="E568" s="888"/>
      <c r="F568" s="888"/>
      <c r="G568" s="888"/>
    </row>
    <row r="569">
      <c r="A569" s="888"/>
      <c r="B569" s="888"/>
      <c r="C569" s="888"/>
      <c r="D569" s="888"/>
      <c r="E569" s="888"/>
      <c r="F569" s="888"/>
      <c r="G569" s="888"/>
    </row>
    <row r="570">
      <c r="A570" s="888"/>
      <c r="B570" s="888"/>
      <c r="C570" s="888"/>
      <c r="D570" s="888"/>
      <c r="E570" s="888"/>
      <c r="F570" s="888"/>
      <c r="G570" s="888"/>
    </row>
    <row r="571">
      <c r="A571" s="888"/>
      <c r="B571" s="888"/>
      <c r="C571" s="888"/>
      <c r="D571" s="888"/>
      <c r="E571" s="888"/>
      <c r="F571" s="888"/>
      <c r="G571" s="888"/>
    </row>
    <row r="572">
      <c r="A572" s="888"/>
      <c r="B572" s="888"/>
      <c r="C572" s="888"/>
      <c r="D572" s="888"/>
      <c r="E572" s="888"/>
      <c r="F572" s="888"/>
      <c r="G572" s="888"/>
    </row>
    <row r="573">
      <c r="A573" s="888"/>
      <c r="B573" s="888"/>
      <c r="C573" s="888"/>
      <c r="D573" s="888"/>
      <c r="E573" s="888"/>
      <c r="F573" s="888"/>
      <c r="G573" s="888"/>
    </row>
    <row r="574">
      <c r="A574" s="888"/>
      <c r="B574" s="888"/>
      <c r="C574" s="888"/>
      <c r="D574" s="888"/>
      <c r="E574" s="888"/>
      <c r="F574" s="888"/>
      <c r="G574" s="888"/>
    </row>
    <row r="575">
      <c r="A575" s="888"/>
      <c r="B575" s="888"/>
      <c r="C575" s="888"/>
      <c r="D575" s="888"/>
      <c r="E575" s="888"/>
      <c r="F575" s="888"/>
      <c r="G575" s="888"/>
    </row>
    <row r="576">
      <c r="A576" s="888"/>
      <c r="B576" s="888"/>
      <c r="C576" s="888"/>
      <c r="D576" s="888"/>
      <c r="E576" s="888"/>
      <c r="F576" s="888"/>
      <c r="G576" s="888"/>
    </row>
    <row r="577">
      <c r="A577" s="888"/>
      <c r="B577" s="888"/>
      <c r="C577" s="888"/>
      <c r="D577" s="888"/>
      <c r="E577" s="888"/>
      <c r="F577" s="888"/>
      <c r="G577" s="888"/>
    </row>
    <row r="578">
      <c r="A578" s="888"/>
      <c r="B578" s="888"/>
      <c r="C578" s="888"/>
      <c r="D578" s="888"/>
      <c r="E578" s="888"/>
      <c r="F578" s="888"/>
      <c r="G578" s="888"/>
    </row>
    <row r="579">
      <c r="A579" s="888"/>
      <c r="B579" s="888"/>
      <c r="C579" s="888"/>
      <c r="D579" s="888"/>
      <c r="E579" s="888"/>
      <c r="F579" s="888"/>
      <c r="G579" s="888"/>
    </row>
    <row r="580">
      <c r="A580" s="888"/>
      <c r="B580" s="888"/>
      <c r="C580" s="888"/>
      <c r="D580" s="888"/>
      <c r="E580" s="888"/>
      <c r="F580" s="888"/>
      <c r="G580" s="888"/>
    </row>
    <row r="581">
      <c r="A581" s="888"/>
      <c r="B581" s="888"/>
      <c r="C581" s="888"/>
      <c r="D581" s="888"/>
      <c r="E581" s="888"/>
      <c r="F581" s="888"/>
      <c r="G581" s="888"/>
    </row>
    <row r="582">
      <c r="A582" s="888"/>
      <c r="B582" s="888"/>
      <c r="C582" s="888"/>
      <c r="D582" s="888"/>
      <c r="E582" s="888"/>
      <c r="F582" s="888"/>
      <c r="G582" s="888"/>
    </row>
    <row r="583">
      <c r="A583" s="888"/>
      <c r="B583" s="888"/>
      <c r="C583" s="888"/>
      <c r="D583" s="888"/>
      <c r="E583" s="888"/>
      <c r="F583" s="888"/>
      <c r="G583" s="888"/>
    </row>
    <row r="584">
      <c r="A584" s="888"/>
      <c r="B584" s="888"/>
      <c r="C584" s="888"/>
      <c r="D584" s="888"/>
      <c r="E584" s="888"/>
      <c r="F584" s="888"/>
      <c r="G584" s="888"/>
    </row>
    <row r="585">
      <c r="A585" s="888"/>
      <c r="B585" s="888"/>
      <c r="C585" s="888"/>
      <c r="D585" s="888"/>
      <c r="E585" s="888"/>
      <c r="F585" s="888"/>
      <c r="G585" s="888"/>
    </row>
    <row r="586">
      <c r="A586" s="888"/>
      <c r="B586" s="888"/>
      <c r="C586" s="888"/>
      <c r="D586" s="888"/>
      <c r="E586" s="888"/>
      <c r="F586" s="888"/>
      <c r="G586" s="888"/>
    </row>
    <row r="587">
      <c r="A587" s="888"/>
      <c r="B587" s="888"/>
      <c r="C587" s="888"/>
      <c r="D587" s="888"/>
      <c r="E587" s="888"/>
      <c r="F587" s="888"/>
      <c r="G587" s="888"/>
    </row>
    <row r="588">
      <c r="A588" s="888"/>
      <c r="B588" s="888"/>
      <c r="C588" s="888"/>
      <c r="D588" s="888"/>
      <c r="E588" s="888"/>
      <c r="F588" s="888"/>
      <c r="G588" s="888"/>
    </row>
    <row r="589">
      <c r="A589" s="888"/>
      <c r="B589" s="888"/>
      <c r="C589" s="888"/>
      <c r="D589" s="888"/>
      <c r="E589" s="888"/>
      <c r="F589" s="888"/>
      <c r="G589" s="888"/>
    </row>
    <row r="590">
      <c r="A590" s="888"/>
      <c r="B590" s="888"/>
      <c r="C590" s="888"/>
      <c r="D590" s="888"/>
      <c r="E590" s="888"/>
      <c r="F590" s="888"/>
      <c r="G590" s="888"/>
    </row>
    <row r="591">
      <c r="A591" s="888"/>
      <c r="B591" s="888"/>
      <c r="C591" s="888"/>
      <c r="D591" s="888"/>
      <c r="E591" s="888"/>
      <c r="F591" s="888"/>
      <c r="G591" s="888"/>
    </row>
    <row r="592">
      <c r="A592" s="888"/>
      <c r="B592" s="888"/>
      <c r="C592" s="888"/>
      <c r="D592" s="888"/>
      <c r="E592" s="888"/>
      <c r="F592" s="888"/>
      <c r="G592" s="888"/>
    </row>
    <row r="593">
      <c r="A593" s="888"/>
      <c r="B593" s="888"/>
      <c r="C593" s="888"/>
      <c r="D593" s="888"/>
      <c r="E593" s="888"/>
      <c r="F593" s="888"/>
      <c r="G593" s="888"/>
    </row>
    <row r="594">
      <c r="A594" s="888"/>
      <c r="B594" s="888"/>
      <c r="C594" s="888"/>
      <c r="D594" s="888"/>
      <c r="E594" s="888"/>
      <c r="F594" s="888"/>
      <c r="G594" s="888"/>
    </row>
    <row r="595">
      <c r="A595" s="888"/>
      <c r="B595" s="888"/>
      <c r="C595" s="888"/>
      <c r="D595" s="888"/>
      <c r="E595" s="888"/>
      <c r="F595" s="888"/>
      <c r="G595" s="888"/>
    </row>
    <row r="596">
      <c r="A596" s="888"/>
      <c r="B596" s="888"/>
      <c r="C596" s="888"/>
      <c r="D596" s="888"/>
      <c r="E596" s="888"/>
      <c r="F596" s="888"/>
      <c r="G596" s="888"/>
    </row>
    <row r="597">
      <c r="A597" s="888"/>
      <c r="B597" s="888"/>
      <c r="C597" s="888"/>
      <c r="D597" s="888"/>
      <c r="E597" s="888"/>
      <c r="F597" s="888"/>
      <c r="G597" s="888"/>
    </row>
    <row r="598">
      <c r="A598" s="888"/>
      <c r="B598" s="888"/>
      <c r="C598" s="888"/>
      <c r="D598" s="888"/>
      <c r="E598" s="888"/>
      <c r="F598" s="888"/>
      <c r="G598" s="888"/>
    </row>
    <row r="599">
      <c r="A599" s="888"/>
      <c r="B599" s="888"/>
      <c r="C599" s="888"/>
      <c r="D599" s="888"/>
      <c r="E599" s="888"/>
      <c r="F599" s="888"/>
      <c r="G599" s="888"/>
    </row>
    <row r="600">
      <c r="A600" s="888"/>
      <c r="B600" s="888"/>
      <c r="C600" s="888"/>
      <c r="D600" s="888"/>
      <c r="E600" s="888"/>
      <c r="F600" s="888"/>
      <c r="G600" s="888"/>
    </row>
    <row r="601">
      <c r="A601" s="888"/>
      <c r="B601" s="888"/>
      <c r="C601" s="888"/>
      <c r="D601" s="888"/>
      <c r="E601" s="888"/>
      <c r="F601" s="888"/>
      <c r="G601" s="888"/>
    </row>
    <row r="602">
      <c r="A602" s="888"/>
      <c r="B602" s="888"/>
      <c r="C602" s="888"/>
      <c r="D602" s="888"/>
      <c r="E602" s="888"/>
      <c r="F602" s="888"/>
      <c r="G602" s="888"/>
    </row>
    <row r="603">
      <c r="A603" s="888"/>
      <c r="B603" s="888"/>
      <c r="C603" s="888"/>
      <c r="D603" s="888"/>
      <c r="E603" s="888"/>
      <c r="F603" s="888"/>
      <c r="G603" s="888"/>
    </row>
    <row r="604">
      <c r="A604" s="888"/>
      <c r="B604" s="888"/>
      <c r="C604" s="888"/>
      <c r="D604" s="888"/>
      <c r="E604" s="888"/>
      <c r="F604" s="888"/>
      <c r="G604" s="888"/>
    </row>
    <row r="605">
      <c r="A605" s="888"/>
      <c r="B605" s="888"/>
      <c r="C605" s="888"/>
      <c r="D605" s="888"/>
      <c r="E605" s="888"/>
      <c r="F605" s="888"/>
      <c r="G605" s="888"/>
    </row>
    <row r="606">
      <c r="A606" s="888"/>
      <c r="B606" s="888"/>
      <c r="C606" s="888"/>
      <c r="D606" s="888"/>
      <c r="E606" s="888"/>
      <c r="F606" s="888"/>
      <c r="G606" s="888"/>
    </row>
    <row r="607">
      <c r="A607" s="888"/>
      <c r="B607" s="888"/>
      <c r="C607" s="888"/>
      <c r="D607" s="888"/>
      <c r="E607" s="888"/>
      <c r="F607" s="888"/>
      <c r="G607" s="888"/>
    </row>
    <row r="608">
      <c r="A608" s="888"/>
      <c r="B608" s="888"/>
      <c r="C608" s="888"/>
      <c r="D608" s="888"/>
      <c r="E608" s="888"/>
      <c r="F608" s="888"/>
      <c r="G608" s="888"/>
    </row>
    <row r="609">
      <c r="A609" s="888"/>
      <c r="B609" s="888"/>
      <c r="C609" s="888"/>
      <c r="D609" s="888"/>
      <c r="E609" s="888"/>
      <c r="F609" s="888"/>
      <c r="G609" s="888"/>
    </row>
    <row r="610">
      <c r="A610" s="888"/>
      <c r="B610" s="888"/>
      <c r="C610" s="888"/>
      <c r="D610" s="888"/>
      <c r="E610" s="888"/>
      <c r="F610" s="888"/>
      <c r="G610" s="888"/>
    </row>
    <row r="611">
      <c r="A611" s="888"/>
      <c r="B611" s="888"/>
      <c r="C611" s="888"/>
      <c r="D611" s="888"/>
      <c r="E611" s="888"/>
      <c r="F611" s="888"/>
      <c r="G611" s="888"/>
    </row>
    <row r="612">
      <c r="A612" s="888"/>
      <c r="B612" s="888"/>
      <c r="C612" s="888"/>
      <c r="D612" s="888"/>
      <c r="E612" s="888"/>
      <c r="F612" s="888"/>
      <c r="G612" s="888"/>
    </row>
    <row r="613">
      <c r="A613" s="888"/>
      <c r="B613" s="888"/>
      <c r="C613" s="888"/>
      <c r="D613" s="888"/>
      <c r="E613" s="888"/>
      <c r="F613" s="888"/>
      <c r="G613" s="888"/>
    </row>
    <row r="614">
      <c r="A614" s="888"/>
      <c r="B614" s="888"/>
      <c r="C614" s="888"/>
      <c r="D614" s="888"/>
      <c r="E614" s="888"/>
      <c r="F614" s="888"/>
      <c r="G614" s="888"/>
    </row>
    <row r="615">
      <c r="A615" s="888"/>
      <c r="B615" s="888"/>
      <c r="C615" s="888"/>
      <c r="D615" s="888"/>
      <c r="E615" s="888"/>
      <c r="F615" s="888"/>
      <c r="G615" s="888"/>
    </row>
    <row r="616">
      <c r="A616" s="888"/>
      <c r="B616" s="888"/>
      <c r="C616" s="888"/>
      <c r="D616" s="888"/>
      <c r="E616" s="888"/>
      <c r="F616" s="888"/>
      <c r="G616" s="888"/>
    </row>
    <row r="617">
      <c r="A617" s="888"/>
      <c r="B617" s="888"/>
      <c r="C617" s="888"/>
      <c r="D617" s="888"/>
      <c r="E617" s="888"/>
      <c r="F617" s="888"/>
      <c r="G617" s="888"/>
    </row>
    <row r="618">
      <c r="A618" s="888"/>
      <c r="B618" s="888"/>
      <c r="C618" s="888"/>
      <c r="D618" s="888"/>
      <c r="E618" s="888"/>
      <c r="F618" s="888"/>
      <c r="G618" s="888"/>
    </row>
    <row r="619">
      <c r="A619" s="888"/>
      <c r="B619" s="888"/>
      <c r="C619" s="888"/>
      <c r="D619" s="888"/>
      <c r="E619" s="888"/>
      <c r="F619" s="888"/>
      <c r="G619" s="888"/>
    </row>
    <row r="620">
      <c r="A620" s="888"/>
      <c r="B620" s="888"/>
      <c r="C620" s="888"/>
      <c r="D620" s="888"/>
      <c r="E620" s="888"/>
      <c r="F620" s="888"/>
      <c r="G620" s="888"/>
    </row>
    <row r="621">
      <c r="A621" s="888"/>
      <c r="B621" s="888"/>
      <c r="C621" s="888"/>
      <c r="D621" s="888"/>
      <c r="E621" s="888"/>
      <c r="F621" s="888"/>
      <c r="G621" s="888"/>
    </row>
    <row r="622">
      <c r="A622" s="888"/>
      <c r="B622" s="888"/>
      <c r="C622" s="888"/>
      <c r="D622" s="888"/>
      <c r="E622" s="888"/>
      <c r="F622" s="888"/>
      <c r="G622" s="888"/>
    </row>
    <row r="623">
      <c r="A623" s="888"/>
      <c r="B623" s="888"/>
      <c r="C623" s="888"/>
      <c r="D623" s="888"/>
      <c r="E623" s="888"/>
      <c r="F623" s="888"/>
      <c r="G623" s="888"/>
    </row>
    <row r="624">
      <c r="A624" s="888"/>
      <c r="B624" s="888"/>
      <c r="C624" s="888"/>
      <c r="D624" s="888"/>
      <c r="E624" s="888"/>
      <c r="F624" s="888"/>
      <c r="G624" s="888"/>
    </row>
    <row r="625">
      <c r="A625" s="888"/>
      <c r="B625" s="888"/>
      <c r="C625" s="888"/>
      <c r="D625" s="888"/>
      <c r="E625" s="888"/>
      <c r="F625" s="888"/>
      <c r="G625" s="888"/>
    </row>
    <row r="626">
      <c r="A626" s="888"/>
      <c r="B626" s="888"/>
      <c r="C626" s="888"/>
      <c r="D626" s="888"/>
      <c r="E626" s="888"/>
      <c r="F626" s="888"/>
      <c r="G626" s="888"/>
    </row>
    <row r="627">
      <c r="A627" s="888"/>
      <c r="B627" s="888"/>
      <c r="C627" s="888"/>
      <c r="D627" s="888"/>
      <c r="E627" s="888"/>
      <c r="F627" s="888"/>
      <c r="G627" s="888"/>
    </row>
    <row r="628">
      <c r="A628" s="888"/>
      <c r="B628" s="888"/>
      <c r="C628" s="888"/>
      <c r="D628" s="888"/>
      <c r="E628" s="888"/>
      <c r="F628" s="888"/>
      <c r="G628" s="888"/>
    </row>
    <row r="629">
      <c r="A629" s="888"/>
      <c r="B629" s="888"/>
      <c r="C629" s="888"/>
      <c r="D629" s="888"/>
      <c r="E629" s="888"/>
      <c r="F629" s="888"/>
      <c r="G629" s="888"/>
    </row>
    <row r="630">
      <c r="A630" s="888"/>
      <c r="B630" s="888"/>
      <c r="C630" s="888"/>
      <c r="D630" s="888"/>
      <c r="E630" s="888"/>
      <c r="F630" s="888"/>
      <c r="G630" s="888"/>
    </row>
    <row r="631">
      <c r="A631" s="888"/>
      <c r="B631" s="888"/>
      <c r="C631" s="888"/>
      <c r="D631" s="888"/>
      <c r="E631" s="888"/>
      <c r="F631" s="888"/>
      <c r="G631" s="888"/>
    </row>
    <row r="632">
      <c r="A632" s="888"/>
      <c r="B632" s="888"/>
      <c r="C632" s="888"/>
      <c r="D632" s="888"/>
      <c r="E632" s="888"/>
      <c r="F632" s="888"/>
      <c r="G632" s="888"/>
    </row>
    <row r="633">
      <c r="A633" s="888"/>
      <c r="B633" s="888"/>
      <c r="C633" s="888"/>
      <c r="D633" s="888"/>
      <c r="E633" s="888"/>
      <c r="F633" s="888"/>
      <c r="G633" s="888"/>
    </row>
    <row r="634">
      <c r="A634" s="888"/>
      <c r="B634" s="888"/>
      <c r="C634" s="888"/>
      <c r="D634" s="888"/>
      <c r="E634" s="888"/>
      <c r="F634" s="888"/>
      <c r="G634" s="888"/>
    </row>
    <row r="635">
      <c r="A635" s="888"/>
      <c r="B635" s="888"/>
      <c r="C635" s="888"/>
      <c r="D635" s="888"/>
      <c r="E635" s="888"/>
      <c r="F635" s="888"/>
      <c r="G635" s="888"/>
    </row>
    <row r="636">
      <c r="A636" s="888"/>
      <c r="B636" s="888"/>
      <c r="C636" s="888"/>
      <c r="D636" s="888"/>
      <c r="E636" s="888"/>
      <c r="F636" s="888"/>
      <c r="G636" s="888"/>
    </row>
    <row r="637">
      <c r="A637" s="888"/>
      <c r="B637" s="888"/>
      <c r="C637" s="888"/>
      <c r="D637" s="888"/>
      <c r="E637" s="888"/>
      <c r="F637" s="888"/>
      <c r="G637" s="888"/>
    </row>
  </sheetData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8.0"/>
    <col customWidth="1" min="6" max="6" width="38.0"/>
    <col customWidth="1" min="7" max="7" width="38.25"/>
  </cols>
  <sheetData>
    <row r="1">
      <c r="B1" s="898" t="s">
        <v>1484</v>
      </c>
    </row>
    <row r="3">
      <c r="B3" s="899" t="s">
        <v>1485</v>
      </c>
      <c r="C3" s="59"/>
      <c r="F3" s="899" t="s">
        <v>1486</v>
      </c>
      <c r="G3" s="59"/>
    </row>
    <row r="4">
      <c r="B4" s="59"/>
      <c r="C4" s="59"/>
      <c r="F4" s="757"/>
      <c r="G4" s="757"/>
    </row>
    <row r="5">
      <c r="B5" s="900"/>
      <c r="C5" s="465"/>
      <c r="F5" s="901" t="s">
        <v>1487</v>
      </c>
      <c r="G5" s="69"/>
    </row>
    <row r="6">
      <c r="B6" s="902" t="s">
        <v>1488</v>
      </c>
      <c r="C6" s="903" t="s">
        <v>1489</v>
      </c>
      <c r="F6" s="904" t="s">
        <v>1490</v>
      </c>
      <c r="G6" s="905" t="s">
        <v>1491</v>
      </c>
    </row>
    <row r="7">
      <c r="B7" s="906">
        <v>6.0</v>
      </c>
      <c r="C7" s="907">
        <v>0.0</v>
      </c>
      <c r="F7" s="908" t="s">
        <v>1492</v>
      </c>
      <c r="G7" s="909" t="s">
        <v>1492</v>
      </c>
    </row>
    <row r="8">
      <c r="B8" s="910" t="s">
        <v>1493</v>
      </c>
      <c r="C8" s="69"/>
      <c r="F8" s="911" t="s">
        <v>1493</v>
      </c>
      <c r="G8" s="69"/>
    </row>
    <row r="9">
      <c r="B9" s="912" t="s">
        <v>1494</v>
      </c>
      <c r="C9" s="69"/>
      <c r="F9" s="913" t="s">
        <v>1495</v>
      </c>
      <c r="G9" s="69"/>
    </row>
    <row r="10">
      <c r="B10" s="914" t="s">
        <v>1496</v>
      </c>
      <c r="C10" s="69"/>
      <c r="F10" s="915"/>
      <c r="G10" s="69"/>
    </row>
    <row r="11">
      <c r="B11" s="914" t="s">
        <v>1497</v>
      </c>
      <c r="C11" s="69"/>
      <c r="F11" s="916"/>
      <c r="G11" s="69"/>
    </row>
    <row r="12">
      <c r="B12" s="914" t="s">
        <v>1498</v>
      </c>
      <c r="C12" s="69"/>
      <c r="F12" s="917"/>
      <c r="G12" s="485"/>
    </row>
    <row r="13">
      <c r="B13" s="914" t="s">
        <v>1499</v>
      </c>
      <c r="C13" s="69"/>
      <c r="F13" s="917"/>
      <c r="G13" s="485"/>
    </row>
    <row r="14">
      <c r="B14" s="910" t="s">
        <v>1500</v>
      </c>
      <c r="C14" s="69"/>
      <c r="F14" s="911" t="s">
        <v>1500</v>
      </c>
      <c r="G14" s="69"/>
    </row>
    <row r="15">
      <c r="B15" s="912" t="s">
        <v>1501</v>
      </c>
      <c r="C15" s="69"/>
      <c r="F15" s="913" t="s">
        <v>1502</v>
      </c>
      <c r="G15" s="69"/>
    </row>
    <row r="16">
      <c r="B16" s="902" t="s">
        <v>1503</v>
      </c>
      <c r="C16" s="918" t="s">
        <v>67</v>
      </c>
      <c r="F16" s="59"/>
      <c r="G16" s="59"/>
    </row>
    <row r="17">
      <c r="B17" s="919" t="s">
        <v>1504</v>
      </c>
      <c r="C17" s="920" t="s">
        <v>1505</v>
      </c>
    </row>
    <row r="18">
      <c r="B18" s="921" t="s">
        <v>1506</v>
      </c>
      <c r="C18" s="920" t="s">
        <v>141</v>
      </c>
    </row>
    <row r="19">
      <c r="B19" s="921" t="s">
        <v>1507</v>
      </c>
      <c r="C19" s="920" t="s">
        <v>1508</v>
      </c>
    </row>
    <row r="23">
      <c r="F23" s="901" t="s">
        <v>1487</v>
      </c>
      <c r="G23" s="69"/>
    </row>
    <row r="24">
      <c r="F24" s="922" t="s">
        <v>1509</v>
      </c>
      <c r="G24" s="905" t="s">
        <v>1491</v>
      </c>
    </row>
    <row r="25">
      <c r="F25" s="923">
        <v>2.0</v>
      </c>
      <c r="G25" s="924">
        <v>-1.0</v>
      </c>
    </row>
    <row r="26">
      <c r="F26" s="925" t="s">
        <v>1510</v>
      </c>
      <c r="G26" s="69"/>
    </row>
    <row r="27">
      <c r="B27" s="926" t="s">
        <v>1511</v>
      </c>
      <c r="C27" s="465"/>
      <c r="F27" s="911" t="s">
        <v>1493</v>
      </c>
      <c r="G27" s="69"/>
    </row>
    <row r="28">
      <c r="B28" s="902" t="s">
        <v>1488</v>
      </c>
      <c r="C28" s="903" t="s">
        <v>1489</v>
      </c>
      <c r="F28" s="912" t="s">
        <v>1512</v>
      </c>
      <c r="G28" s="69"/>
    </row>
    <row r="29">
      <c r="B29" s="927" t="s">
        <v>1492</v>
      </c>
      <c r="C29" s="928" t="s">
        <v>1492</v>
      </c>
      <c r="F29" s="929" t="s">
        <v>1513</v>
      </c>
      <c r="G29" s="69"/>
    </row>
    <row r="30">
      <c r="B30" s="927"/>
      <c r="C30" s="928"/>
      <c r="F30" s="929" t="s">
        <v>1514</v>
      </c>
      <c r="G30" s="69"/>
    </row>
    <row r="31">
      <c r="B31" s="927"/>
      <c r="C31" s="928"/>
      <c r="F31" s="929" t="s">
        <v>1515</v>
      </c>
      <c r="G31" s="69"/>
    </row>
    <row r="32">
      <c r="B32" s="910" t="s">
        <v>1493</v>
      </c>
      <c r="C32" s="69"/>
      <c r="F32" s="930" t="s">
        <v>1516</v>
      </c>
      <c r="G32" s="69"/>
    </row>
    <row r="33">
      <c r="B33" s="913" t="s">
        <v>1495</v>
      </c>
      <c r="C33" s="69"/>
      <c r="F33" s="919" t="s">
        <v>1517</v>
      </c>
      <c r="G33" s="920" t="s">
        <v>1505</v>
      </c>
    </row>
    <row r="34">
      <c r="B34" s="916"/>
      <c r="C34" s="69"/>
      <c r="F34" s="921" t="s">
        <v>1518</v>
      </c>
      <c r="G34" s="931" t="s">
        <v>1505</v>
      </c>
    </row>
    <row r="35">
      <c r="B35" s="916"/>
      <c r="C35" s="69"/>
      <c r="F35" s="911" t="s">
        <v>1500</v>
      </c>
      <c r="G35" s="69"/>
    </row>
    <row r="36">
      <c r="B36" s="916"/>
      <c r="C36" s="69"/>
      <c r="F36" s="912" t="s">
        <v>1519</v>
      </c>
      <c r="G36" s="69"/>
    </row>
    <row r="37">
      <c r="B37" s="916"/>
      <c r="C37" s="69"/>
      <c r="F37" s="914" t="s">
        <v>1520</v>
      </c>
      <c r="G37" s="69"/>
    </row>
    <row r="38">
      <c r="B38" s="916"/>
      <c r="C38" s="69"/>
    </row>
    <row r="39">
      <c r="B39" s="910" t="s">
        <v>1500</v>
      </c>
      <c r="C39" s="69"/>
    </row>
    <row r="40">
      <c r="B40" s="913" t="s">
        <v>1502</v>
      </c>
      <c r="C40" s="69"/>
    </row>
    <row r="41">
      <c r="B41" s="916"/>
      <c r="C41" s="69"/>
    </row>
    <row r="42">
      <c r="B42" s="902" t="s">
        <v>1503</v>
      </c>
      <c r="C42" s="918" t="s">
        <v>67</v>
      </c>
      <c r="F42" s="901" t="s">
        <v>1487</v>
      </c>
      <c r="G42" s="69"/>
    </row>
    <row r="43">
      <c r="B43" s="932" t="s">
        <v>1521</v>
      </c>
      <c r="C43" s="933" t="s">
        <v>1522</v>
      </c>
      <c r="F43" s="904" t="s">
        <v>1490</v>
      </c>
      <c r="G43" s="905" t="s">
        <v>1491</v>
      </c>
    </row>
    <row r="44">
      <c r="B44" s="917"/>
      <c r="C44" s="485"/>
      <c r="F44" s="908" t="s">
        <v>1492</v>
      </c>
      <c r="G44" s="909" t="s">
        <v>1492</v>
      </c>
    </row>
    <row r="45">
      <c r="B45" s="917"/>
      <c r="C45" s="485"/>
      <c r="F45" s="925" t="s">
        <v>1510</v>
      </c>
      <c r="G45" s="69"/>
    </row>
    <row r="46">
      <c r="B46" s="917"/>
      <c r="C46" s="485"/>
      <c r="F46" s="911" t="s">
        <v>1493</v>
      </c>
      <c r="G46" s="69"/>
    </row>
    <row r="47">
      <c r="F47" s="913" t="s">
        <v>1495</v>
      </c>
      <c r="G47" s="69"/>
    </row>
    <row r="48">
      <c r="F48" s="915"/>
      <c r="G48" s="69"/>
    </row>
    <row r="49">
      <c r="F49" s="916"/>
      <c r="G49" s="69"/>
    </row>
    <row r="50">
      <c r="F50" s="904" t="s">
        <v>1516</v>
      </c>
      <c r="G50" s="905" t="s">
        <v>67</v>
      </c>
    </row>
    <row r="51">
      <c r="B51" s="926" t="s">
        <v>1511</v>
      </c>
      <c r="C51" s="465"/>
      <c r="F51" s="932" t="s">
        <v>1521</v>
      </c>
      <c r="G51" s="933" t="s">
        <v>1522</v>
      </c>
    </row>
    <row r="52">
      <c r="B52" s="902" t="s">
        <v>1488</v>
      </c>
      <c r="C52" s="903" t="s">
        <v>1489</v>
      </c>
      <c r="F52" s="917"/>
      <c r="G52" s="934"/>
    </row>
    <row r="53">
      <c r="B53" s="927" t="s">
        <v>1492</v>
      </c>
      <c r="C53" s="928" t="s">
        <v>1492</v>
      </c>
      <c r="F53" s="911" t="s">
        <v>1500</v>
      </c>
      <c r="G53" s="69"/>
    </row>
    <row r="54">
      <c r="B54" s="910" t="s">
        <v>1523</v>
      </c>
      <c r="C54" s="69"/>
      <c r="F54" s="913" t="s">
        <v>1502</v>
      </c>
      <c r="G54" s="69"/>
    </row>
    <row r="55">
      <c r="B55" s="910" t="s">
        <v>1493</v>
      </c>
      <c r="C55" s="69"/>
      <c r="F55" s="916"/>
      <c r="G55" s="69"/>
    </row>
    <row r="56">
      <c r="B56" s="913" t="s">
        <v>1495</v>
      </c>
      <c r="C56" s="69"/>
    </row>
    <row r="57">
      <c r="B57" s="916"/>
      <c r="C57" s="69"/>
    </row>
    <row r="58">
      <c r="B58" s="916"/>
      <c r="C58" s="69"/>
    </row>
    <row r="59">
      <c r="B59" s="916"/>
      <c r="C59" s="69"/>
    </row>
    <row r="60">
      <c r="B60" s="916"/>
      <c r="C60" s="69"/>
      <c r="F60" s="901" t="s">
        <v>1487</v>
      </c>
      <c r="G60" s="69"/>
    </row>
    <row r="61">
      <c r="B61" s="916"/>
      <c r="C61" s="69"/>
      <c r="F61" s="904" t="s">
        <v>1490</v>
      </c>
      <c r="G61" s="905" t="s">
        <v>1491</v>
      </c>
    </row>
    <row r="62">
      <c r="B62" s="910" t="s">
        <v>1500</v>
      </c>
      <c r="C62" s="69"/>
      <c r="F62" s="908" t="s">
        <v>1492</v>
      </c>
      <c r="G62" s="909" t="s">
        <v>1492</v>
      </c>
    </row>
    <row r="63">
      <c r="B63" s="913" t="s">
        <v>1502</v>
      </c>
      <c r="C63" s="69"/>
      <c r="F63" s="925" t="s">
        <v>1510</v>
      </c>
      <c r="G63" s="69"/>
    </row>
    <row r="64">
      <c r="B64" s="916"/>
      <c r="C64" s="69"/>
      <c r="F64" s="911" t="s">
        <v>1493</v>
      </c>
      <c r="G64" s="69"/>
    </row>
    <row r="65">
      <c r="B65" s="902" t="s">
        <v>1503</v>
      </c>
      <c r="C65" s="918" t="s">
        <v>67</v>
      </c>
      <c r="F65" s="913" t="s">
        <v>1495</v>
      </c>
      <c r="G65" s="69"/>
    </row>
    <row r="66">
      <c r="B66" s="932" t="s">
        <v>1521</v>
      </c>
      <c r="C66" s="933" t="s">
        <v>1522</v>
      </c>
      <c r="F66" s="915"/>
      <c r="G66" s="69"/>
    </row>
    <row r="67">
      <c r="B67" s="917"/>
      <c r="C67" s="485"/>
      <c r="F67" s="916"/>
      <c r="G67" s="69"/>
    </row>
    <row r="68">
      <c r="B68" s="917"/>
      <c r="C68" s="485"/>
      <c r="F68" s="904" t="s">
        <v>1516</v>
      </c>
      <c r="G68" s="905" t="s">
        <v>67</v>
      </c>
    </row>
    <row r="69">
      <c r="B69" s="917"/>
      <c r="C69" s="485"/>
      <c r="F69" s="932" t="s">
        <v>1521</v>
      </c>
      <c r="G69" s="933" t="s">
        <v>1522</v>
      </c>
    </row>
    <row r="70">
      <c r="F70" s="917"/>
      <c r="G70" s="934"/>
    </row>
    <row r="71">
      <c r="F71" s="911" t="s">
        <v>1500</v>
      </c>
      <c r="G71" s="69"/>
    </row>
    <row r="72">
      <c r="F72" s="913" t="s">
        <v>1502</v>
      </c>
      <c r="G72" s="69"/>
    </row>
    <row r="73">
      <c r="F73" s="916"/>
      <c r="G73" s="69"/>
    </row>
  </sheetData>
  <mergeCells count="69">
    <mergeCell ref="F55:G55"/>
    <mergeCell ref="F60:G60"/>
    <mergeCell ref="F71:G71"/>
    <mergeCell ref="F72:G72"/>
    <mergeCell ref="F73:G73"/>
    <mergeCell ref="F45:G45"/>
    <mergeCell ref="F46:G46"/>
    <mergeCell ref="F47:G47"/>
    <mergeCell ref="F48:G48"/>
    <mergeCell ref="F49:G49"/>
    <mergeCell ref="F53:G53"/>
    <mergeCell ref="F54:G54"/>
    <mergeCell ref="B1:C1"/>
    <mergeCell ref="B5:C5"/>
    <mergeCell ref="F5:G5"/>
    <mergeCell ref="B8:C8"/>
    <mergeCell ref="F8:G8"/>
    <mergeCell ref="B9:C9"/>
    <mergeCell ref="B10:C10"/>
    <mergeCell ref="B11:C11"/>
    <mergeCell ref="F11:G11"/>
    <mergeCell ref="B12:C12"/>
    <mergeCell ref="B13:C13"/>
    <mergeCell ref="B14:C14"/>
    <mergeCell ref="F14:G14"/>
    <mergeCell ref="F15:G15"/>
    <mergeCell ref="F9:G9"/>
    <mergeCell ref="F10:G10"/>
    <mergeCell ref="F23:G23"/>
    <mergeCell ref="F26:G26"/>
    <mergeCell ref="F27:G27"/>
    <mergeCell ref="F28:G28"/>
    <mergeCell ref="F29:G29"/>
    <mergeCell ref="B15:C15"/>
    <mergeCell ref="B27:C27"/>
    <mergeCell ref="B32:C32"/>
    <mergeCell ref="B33:C33"/>
    <mergeCell ref="B34:C34"/>
    <mergeCell ref="B35:C35"/>
    <mergeCell ref="B36:C36"/>
    <mergeCell ref="F30:G30"/>
    <mergeCell ref="F31:G31"/>
    <mergeCell ref="F32:G32"/>
    <mergeCell ref="F35:G35"/>
    <mergeCell ref="F36:G36"/>
    <mergeCell ref="F37:G37"/>
    <mergeCell ref="F42:G42"/>
    <mergeCell ref="B37:C37"/>
    <mergeCell ref="B38:C38"/>
    <mergeCell ref="B39:C39"/>
    <mergeCell ref="B40:C40"/>
    <mergeCell ref="B41:C41"/>
    <mergeCell ref="B51:C51"/>
    <mergeCell ref="B54:C54"/>
    <mergeCell ref="B62:C62"/>
    <mergeCell ref="B63:C63"/>
    <mergeCell ref="F63:G63"/>
    <mergeCell ref="F64:G64"/>
    <mergeCell ref="F65:G65"/>
    <mergeCell ref="F66:G66"/>
    <mergeCell ref="F67:G67"/>
    <mergeCell ref="B55:C55"/>
    <mergeCell ref="B56:C56"/>
    <mergeCell ref="B57:C57"/>
    <mergeCell ref="B58:C58"/>
    <mergeCell ref="B59:C59"/>
    <mergeCell ref="B60:C60"/>
    <mergeCell ref="B61:C61"/>
    <mergeCell ref="B64:C64"/>
  </mergeCells>
  <hyperlinks>
    <hyperlink r:id="rId1" ref="B1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2.63"/>
    <col customWidth="1" min="9" max="9" width="15.75"/>
    <col customWidth="1" min="10" max="10" width="15.63"/>
    <col customWidth="1" min="12" max="12" width="14.75"/>
    <col customWidth="1" min="14" max="14" width="13.13"/>
    <col customWidth="1" min="15" max="15" width="15.13"/>
    <col customWidth="1" min="16" max="16" width="12.5"/>
    <col customWidth="1" min="18" max="18" width="21.13"/>
    <col customWidth="1" min="19" max="19" width="22.38"/>
    <col customWidth="1" min="20" max="20" width="19.75"/>
    <col customWidth="1" min="22" max="22" width="16.13"/>
  </cols>
  <sheetData>
    <row r="1">
      <c r="B1" s="935"/>
      <c r="C1" s="936"/>
      <c r="D1" s="936"/>
      <c r="E1" s="936"/>
      <c r="F1" s="936"/>
      <c r="G1" s="936"/>
      <c r="H1" s="936"/>
      <c r="I1" s="936"/>
      <c r="K1" s="937"/>
      <c r="L1" s="938"/>
      <c r="M1" s="939"/>
      <c r="N1" s="938"/>
      <c r="O1" s="935"/>
    </row>
    <row r="2">
      <c r="A2" s="935"/>
      <c r="B2" s="940">
        <v>45734.0</v>
      </c>
      <c r="C2" s="941" t="s">
        <v>8</v>
      </c>
      <c r="D2" s="941" t="s">
        <v>9</v>
      </c>
      <c r="E2" s="941" t="s">
        <v>10</v>
      </c>
      <c r="F2" s="941" t="s">
        <v>11</v>
      </c>
      <c r="G2" s="941" t="s">
        <v>12</v>
      </c>
      <c r="H2" s="942" t="s">
        <v>1524</v>
      </c>
      <c r="I2" s="942" t="s">
        <v>1525</v>
      </c>
      <c r="K2" s="943" t="s">
        <v>1526</v>
      </c>
      <c r="L2" s="944" t="s">
        <v>1527</v>
      </c>
      <c r="M2" s="943" t="s">
        <v>1526</v>
      </c>
      <c r="N2" s="944" t="s">
        <v>1527</v>
      </c>
      <c r="O2" s="935"/>
    </row>
    <row r="3">
      <c r="A3" s="936"/>
      <c r="B3" s="945" t="s">
        <v>1528</v>
      </c>
      <c r="C3" s="946" t="s">
        <v>183</v>
      </c>
      <c r="D3" s="947"/>
      <c r="E3" s="947"/>
      <c r="F3" s="947"/>
      <c r="G3" s="947"/>
      <c r="H3" s="948" t="s">
        <v>187</v>
      </c>
      <c r="I3" s="948" t="s">
        <v>368</v>
      </c>
      <c r="K3" s="949" t="s">
        <v>1529</v>
      </c>
      <c r="L3" s="950" t="s">
        <v>1530</v>
      </c>
      <c r="M3" s="951" t="s">
        <v>1531</v>
      </c>
      <c r="N3" s="950" t="s">
        <v>1532</v>
      </c>
      <c r="Y3" s="952"/>
    </row>
    <row r="4">
      <c r="A4" s="936"/>
      <c r="B4" s="953" t="s">
        <v>1533</v>
      </c>
      <c r="C4" s="954" t="s">
        <v>183</v>
      </c>
      <c r="D4" s="955"/>
      <c r="E4" s="955"/>
      <c r="F4" s="955"/>
      <c r="G4" s="955"/>
      <c r="H4" s="948" t="s">
        <v>187</v>
      </c>
      <c r="I4" s="956"/>
      <c r="K4" s="957" t="s">
        <v>1534</v>
      </c>
      <c r="L4" s="950" t="s">
        <v>1530</v>
      </c>
      <c r="M4" s="958" t="s">
        <v>1535</v>
      </c>
      <c r="N4" s="950" t="s">
        <v>1530</v>
      </c>
      <c r="Y4" s="959"/>
    </row>
    <row r="5">
      <c r="A5" s="936"/>
      <c r="B5" s="953" t="s">
        <v>1536</v>
      </c>
      <c r="C5" s="960" t="s">
        <v>1537</v>
      </c>
      <c r="D5" s="955"/>
      <c r="E5" s="955"/>
      <c r="F5" s="955"/>
      <c r="G5" s="955"/>
      <c r="H5" s="948" t="s">
        <v>187</v>
      </c>
      <c r="I5" s="948"/>
      <c r="K5" s="961" t="s">
        <v>1538</v>
      </c>
      <c r="L5" s="950" t="s">
        <v>1532</v>
      </c>
      <c r="M5" s="962" t="s">
        <v>1539</v>
      </c>
      <c r="N5" s="950" t="s">
        <v>1530</v>
      </c>
      <c r="Y5" s="952"/>
    </row>
    <row r="6">
      <c r="A6" s="936"/>
      <c r="B6" s="953" t="s">
        <v>1540</v>
      </c>
      <c r="C6" s="954" t="s">
        <v>1541</v>
      </c>
      <c r="D6" s="955"/>
      <c r="E6" s="955"/>
      <c r="F6" s="955"/>
      <c r="G6" s="955"/>
      <c r="H6" s="948" t="s">
        <v>158</v>
      </c>
      <c r="I6" s="963"/>
      <c r="K6" s="964" t="s">
        <v>1542</v>
      </c>
      <c r="L6" s="950" t="s">
        <v>1543</v>
      </c>
      <c r="M6" s="965" t="s">
        <v>1544</v>
      </c>
      <c r="N6" s="950" t="s">
        <v>1532</v>
      </c>
      <c r="Y6" s="952"/>
    </row>
    <row r="7">
      <c r="A7" s="936"/>
      <c r="B7" s="966" t="s">
        <v>1545</v>
      </c>
      <c r="C7" s="967" t="s">
        <v>364</v>
      </c>
      <c r="D7" s="968"/>
      <c r="E7" s="968"/>
      <c r="F7" s="968"/>
      <c r="G7" s="968"/>
      <c r="H7" s="969" t="s">
        <v>158</v>
      </c>
      <c r="I7" s="969"/>
      <c r="K7" s="970" t="s">
        <v>1546</v>
      </c>
      <c r="L7" s="950" t="s">
        <v>1532</v>
      </c>
      <c r="M7" s="971" t="s">
        <v>1547</v>
      </c>
      <c r="N7" s="950" t="s">
        <v>1543</v>
      </c>
      <c r="Y7" s="952"/>
    </row>
    <row r="8">
      <c r="A8" s="936"/>
      <c r="K8" s="972" t="s">
        <v>1548</v>
      </c>
      <c r="L8" s="950" t="s">
        <v>1532</v>
      </c>
      <c r="M8" s="973" t="s">
        <v>1549</v>
      </c>
      <c r="N8" s="950" t="s">
        <v>1543</v>
      </c>
      <c r="Y8" s="952"/>
    </row>
    <row r="9">
      <c r="C9" s="936"/>
      <c r="D9" s="936"/>
      <c r="E9" s="936"/>
      <c r="F9" s="936"/>
      <c r="G9" s="936"/>
      <c r="H9" s="936"/>
      <c r="K9" s="974" t="s">
        <v>1550</v>
      </c>
      <c r="L9" s="950" t="s">
        <v>1530</v>
      </c>
      <c r="M9" s="975" t="s">
        <v>1551</v>
      </c>
      <c r="N9" s="950" t="s">
        <v>1532</v>
      </c>
      <c r="Y9" s="952"/>
    </row>
    <row r="10">
      <c r="K10" s="976" t="s">
        <v>1552</v>
      </c>
      <c r="L10" s="977"/>
      <c r="M10" s="978" t="s">
        <v>1553</v>
      </c>
      <c r="N10" s="979" t="s">
        <v>1530</v>
      </c>
      <c r="Y10" s="952"/>
    </row>
    <row r="11">
      <c r="K11" s="980"/>
      <c r="L11" s="977"/>
      <c r="M11" s="980"/>
      <c r="N11" s="977"/>
      <c r="Y11" s="952"/>
    </row>
    <row r="12">
      <c r="K12" s="980"/>
      <c r="L12" s="977"/>
      <c r="M12" s="980"/>
      <c r="N12" s="977"/>
      <c r="P12" s="981"/>
      <c r="Q12" s="982" t="s">
        <v>1554</v>
      </c>
      <c r="R12" s="983" t="s">
        <v>1555</v>
      </c>
      <c r="S12" s="984" t="s">
        <v>1556</v>
      </c>
      <c r="T12" s="985" t="s">
        <v>1557</v>
      </c>
      <c r="Y12" s="952"/>
    </row>
    <row r="13">
      <c r="K13" s="980"/>
      <c r="L13" s="977"/>
      <c r="M13" s="980"/>
      <c r="N13" s="977"/>
      <c r="P13" s="986" t="s">
        <v>1558</v>
      </c>
      <c r="Q13" s="987">
        <v>0.3402777777777778</v>
      </c>
      <c r="R13" s="988">
        <v>0.3402777777777778</v>
      </c>
      <c r="S13" s="989">
        <v>0.4583333333333333</v>
      </c>
      <c r="T13" s="990">
        <v>0.5416666666666666</v>
      </c>
      <c r="Y13" s="952"/>
    </row>
    <row r="14">
      <c r="A14" s="935"/>
      <c r="B14" s="935"/>
      <c r="C14" s="936"/>
      <c r="D14" s="936"/>
      <c r="E14" s="936"/>
      <c r="F14" s="936"/>
      <c r="G14" s="936"/>
      <c r="H14" s="936"/>
      <c r="I14" s="936"/>
      <c r="K14" s="991"/>
      <c r="L14" s="977"/>
      <c r="M14" s="980"/>
      <c r="N14" s="977"/>
      <c r="O14" s="935"/>
      <c r="P14" s="992" t="s">
        <v>1559</v>
      </c>
      <c r="Q14" s="993" t="s">
        <v>1560</v>
      </c>
      <c r="R14" s="994" t="s">
        <v>1561</v>
      </c>
      <c r="S14" s="995" t="s">
        <v>1561</v>
      </c>
      <c r="T14" s="996" t="s">
        <v>1561</v>
      </c>
    </row>
    <row r="15">
      <c r="A15" s="935"/>
      <c r="B15" s="940">
        <v>45735.0</v>
      </c>
      <c r="C15" s="941" t="s">
        <v>8</v>
      </c>
      <c r="D15" s="941" t="s">
        <v>9</v>
      </c>
      <c r="E15" s="941" t="s">
        <v>10</v>
      </c>
      <c r="F15" s="941" t="s">
        <v>11</v>
      </c>
      <c r="G15" s="941" t="s">
        <v>12</v>
      </c>
      <c r="H15" s="942" t="s">
        <v>1524</v>
      </c>
      <c r="I15" s="942" t="s">
        <v>1525</v>
      </c>
      <c r="K15" s="997" t="s">
        <v>1526</v>
      </c>
      <c r="L15" s="998" t="s">
        <v>1527</v>
      </c>
      <c r="M15" s="997" t="s">
        <v>1526</v>
      </c>
      <c r="N15" s="998" t="s">
        <v>1527</v>
      </c>
      <c r="O15" s="935"/>
      <c r="P15" s="999" t="s">
        <v>1562</v>
      </c>
      <c r="Q15" s="1000" t="s">
        <v>1546</v>
      </c>
      <c r="R15" s="1001" t="s">
        <v>1542</v>
      </c>
      <c r="S15" s="1002" t="s">
        <v>1534</v>
      </c>
      <c r="T15" s="1003" t="s">
        <v>1549</v>
      </c>
    </row>
    <row r="16">
      <c r="A16" s="936"/>
      <c r="B16" s="945" t="s">
        <v>1528</v>
      </c>
      <c r="C16" s="946" t="s">
        <v>376</v>
      </c>
      <c r="D16" s="1004" t="s">
        <v>372</v>
      </c>
      <c r="E16" s="1004" t="s">
        <v>125</v>
      </c>
      <c r="F16" s="1004" t="s">
        <v>1541</v>
      </c>
      <c r="G16" s="947"/>
      <c r="H16" s="948" t="s">
        <v>107</v>
      </c>
      <c r="I16" s="948" t="s">
        <v>163</v>
      </c>
      <c r="K16" s="949" t="s">
        <v>1529</v>
      </c>
      <c r="L16" s="950" t="s">
        <v>1563</v>
      </c>
      <c r="M16" s="951" t="s">
        <v>1531</v>
      </c>
      <c r="N16" s="950" t="s">
        <v>1563</v>
      </c>
      <c r="P16" s="1005"/>
      <c r="Q16" s="1006" t="s">
        <v>1531</v>
      </c>
      <c r="R16" s="1007" t="s">
        <v>1564</v>
      </c>
      <c r="S16" s="1008" t="s">
        <v>1535</v>
      </c>
      <c r="T16" s="1009" t="s">
        <v>1539</v>
      </c>
    </row>
    <row r="17">
      <c r="A17" s="936"/>
      <c r="B17" s="953" t="s">
        <v>1533</v>
      </c>
      <c r="C17" s="954" t="s">
        <v>376</v>
      </c>
      <c r="D17" s="1010" t="s">
        <v>372</v>
      </c>
      <c r="E17" s="1010" t="s">
        <v>125</v>
      </c>
      <c r="F17" s="1010" t="s">
        <v>1541</v>
      </c>
      <c r="G17" s="955"/>
      <c r="H17" s="948" t="s">
        <v>107</v>
      </c>
      <c r="I17" s="956"/>
      <c r="K17" s="957" t="s">
        <v>1534</v>
      </c>
      <c r="L17" s="950" t="s">
        <v>1565</v>
      </c>
      <c r="M17" s="958" t="s">
        <v>1535</v>
      </c>
      <c r="N17" s="950" t="s">
        <v>1565</v>
      </c>
      <c r="P17" s="1011"/>
      <c r="Q17" s="1012" t="s">
        <v>1547</v>
      </c>
      <c r="R17" s="1007" t="s">
        <v>1548</v>
      </c>
      <c r="S17" s="1008" t="s">
        <v>1566</v>
      </c>
      <c r="T17" s="1013" t="s">
        <v>1567</v>
      </c>
    </row>
    <row r="18">
      <c r="A18" s="936"/>
      <c r="B18" s="953" t="s">
        <v>1536</v>
      </c>
      <c r="C18" s="954" t="s">
        <v>183</v>
      </c>
      <c r="D18" s="1010" t="s">
        <v>163</v>
      </c>
      <c r="E18" s="1010" t="s">
        <v>1568</v>
      </c>
      <c r="F18" s="1014" t="s">
        <v>1569</v>
      </c>
      <c r="G18" s="955"/>
      <c r="H18" s="948" t="s">
        <v>107</v>
      </c>
      <c r="I18" s="948"/>
      <c r="K18" s="961" t="s">
        <v>1538</v>
      </c>
      <c r="L18" s="950" t="s">
        <v>1570</v>
      </c>
      <c r="M18" s="962" t="s">
        <v>1539</v>
      </c>
      <c r="N18" s="950" t="s">
        <v>1570</v>
      </c>
      <c r="P18" s="232"/>
      <c r="Q18" s="1015"/>
      <c r="R18" s="1007" t="s">
        <v>1553</v>
      </c>
      <c r="S18" s="1008" t="s">
        <v>1571</v>
      </c>
      <c r="T18" s="1016"/>
      <c r="Y18" s="952"/>
    </row>
    <row r="19">
      <c r="A19" s="936"/>
      <c r="B19" s="966" t="s">
        <v>1572</v>
      </c>
      <c r="C19" s="1017" t="s">
        <v>364</v>
      </c>
      <c r="D19" s="1018" t="s">
        <v>372</v>
      </c>
      <c r="E19" s="1017" t="s">
        <v>380</v>
      </c>
      <c r="F19" s="1017" t="s">
        <v>1573</v>
      </c>
      <c r="G19" s="968"/>
      <c r="H19" s="969" t="s">
        <v>187</v>
      </c>
      <c r="I19" s="969"/>
      <c r="K19" s="964" t="s">
        <v>1542</v>
      </c>
      <c r="L19" s="950" t="s">
        <v>1563</v>
      </c>
      <c r="M19" s="965" t="s">
        <v>1544</v>
      </c>
      <c r="N19" s="950" t="s">
        <v>1563</v>
      </c>
      <c r="P19" s="232"/>
      <c r="Q19" s="1019"/>
      <c r="R19" s="994" t="s">
        <v>1544</v>
      </c>
      <c r="S19" s="1020"/>
      <c r="T19" s="1021"/>
      <c r="Y19" s="959"/>
    </row>
    <row r="20">
      <c r="A20" s="936"/>
      <c r="K20" s="970" t="s">
        <v>1546</v>
      </c>
      <c r="L20" s="950" t="s">
        <v>1563</v>
      </c>
      <c r="M20" s="971" t="s">
        <v>1547</v>
      </c>
      <c r="N20" s="950" t="s">
        <v>1563</v>
      </c>
      <c r="Y20" s="952"/>
    </row>
    <row r="21">
      <c r="A21" s="936"/>
      <c r="K21" s="972" t="s">
        <v>1548</v>
      </c>
      <c r="L21" s="950" t="s">
        <v>1563</v>
      </c>
      <c r="M21" s="973" t="s">
        <v>1549</v>
      </c>
      <c r="N21" s="950" t="s">
        <v>1570</v>
      </c>
      <c r="Y21" s="952"/>
    </row>
    <row r="22">
      <c r="C22" s="936"/>
      <c r="D22" s="936"/>
      <c r="E22" s="936"/>
      <c r="F22" s="936"/>
      <c r="G22" s="936"/>
      <c r="H22" s="936"/>
      <c r="K22" s="974" t="s">
        <v>1550</v>
      </c>
      <c r="L22" s="950" t="s">
        <v>1565</v>
      </c>
      <c r="M22" s="975" t="s">
        <v>1551</v>
      </c>
      <c r="N22" s="950" t="s">
        <v>1565</v>
      </c>
      <c r="Y22" s="952"/>
    </row>
    <row r="23">
      <c r="K23" s="976" t="s">
        <v>1552</v>
      </c>
      <c r="L23" s="977"/>
      <c r="M23" s="978" t="s">
        <v>1553</v>
      </c>
      <c r="N23" s="979" t="s">
        <v>1563</v>
      </c>
      <c r="P23" s="981"/>
      <c r="Q23" s="982" t="s">
        <v>1554</v>
      </c>
      <c r="R23" s="983" t="s">
        <v>1555</v>
      </c>
      <c r="S23" s="984" t="s">
        <v>1556</v>
      </c>
      <c r="T23" s="985" t="s">
        <v>1557</v>
      </c>
      <c r="Y23" s="952"/>
    </row>
    <row r="24">
      <c r="K24" s="980"/>
      <c r="L24" s="977"/>
      <c r="M24" s="980"/>
      <c r="N24" s="977"/>
      <c r="P24" s="986" t="s">
        <v>1558</v>
      </c>
      <c r="Q24" s="987">
        <v>0.3402777777777778</v>
      </c>
      <c r="R24" s="988">
        <v>0.3402777777777778</v>
      </c>
      <c r="S24" s="989">
        <v>0.4583333333333333</v>
      </c>
      <c r="T24" s="990">
        <v>0.5416666666666666</v>
      </c>
      <c r="Y24" s="952"/>
    </row>
    <row r="25">
      <c r="K25" s="980"/>
      <c r="L25" s="977"/>
      <c r="M25" s="980"/>
      <c r="N25" s="977"/>
      <c r="P25" s="992" t="s">
        <v>1559</v>
      </c>
      <c r="Q25" s="993" t="s">
        <v>1560</v>
      </c>
      <c r="R25" s="994" t="s">
        <v>1561</v>
      </c>
      <c r="S25" s="995" t="s">
        <v>1561</v>
      </c>
      <c r="T25" s="996" t="s">
        <v>1561</v>
      </c>
      <c r="Y25" s="952"/>
    </row>
    <row r="26">
      <c r="A26" s="935"/>
      <c r="B26" s="935"/>
      <c r="C26" s="936"/>
      <c r="D26" s="936"/>
      <c r="E26" s="936"/>
      <c r="F26" s="936"/>
      <c r="G26" s="936"/>
      <c r="H26" s="936"/>
      <c r="I26" s="936"/>
      <c r="K26" s="991"/>
      <c r="L26" s="977"/>
      <c r="M26" s="980"/>
      <c r="N26" s="977"/>
      <c r="O26" s="935"/>
      <c r="P26" s="999" t="s">
        <v>1562</v>
      </c>
      <c r="Q26" s="1000" t="s">
        <v>1546</v>
      </c>
      <c r="R26" s="1001" t="s">
        <v>1534</v>
      </c>
      <c r="S26" s="1002" t="s">
        <v>1549</v>
      </c>
      <c r="T26" s="1003" t="s">
        <v>1542</v>
      </c>
      <c r="Y26" s="952"/>
    </row>
    <row r="27">
      <c r="A27" s="935"/>
      <c r="B27" s="940">
        <v>45736.0</v>
      </c>
      <c r="C27" s="941" t="s">
        <v>8</v>
      </c>
      <c r="D27" s="941" t="s">
        <v>9</v>
      </c>
      <c r="E27" s="941" t="s">
        <v>10</v>
      </c>
      <c r="F27" s="941" t="s">
        <v>11</v>
      </c>
      <c r="G27" s="941" t="s">
        <v>12</v>
      </c>
      <c r="H27" s="942" t="s">
        <v>1524</v>
      </c>
      <c r="I27" s="942" t="s">
        <v>1525</v>
      </c>
      <c r="K27" s="997" t="s">
        <v>1526</v>
      </c>
      <c r="L27" s="998" t="s">
        <v>1527</v>
      </c>
      <c r="M27" s="997" t="s">
        <v>1526</v>
      </c>
      <c r="N27" s="998" t="s">
        <v>1527</v>
      </c>
      <c r="O27" s="935"/>
      <c r="P27" s="1005"/>
      <c r="Q27" s="1006" t="s">
        <v>1538</v>
      </c>
      <c r="R27" s="1007" t="s">
        <v>1535</v>
      </c>
      <c r="S27" s="1008" t="s">
        <v>1539</v>
      </c>
      <c r="T27" s="1009" t="s">
        <v>1548</v>
      </c>
      <c r="Y27" s="952"/>
    </row>
    <row r="28">
      <c r="A28" s="936"/>
      <c r="B28" s="945" t="s">
        <v>1528</v>
      </c>
      <c r="C28" s="946" t="s">
        <v>376</v>
      </c>
      <c r="D28" s="1004" t="s">
        <v>1568</v>
      </c>
      <c r="E28" s="1004" t="s">
        <v>380</v>
      </c>
      <c r="F28" s="1004" t="s">
        <v>1574</v>
      </c>
      <c r="G28" s="947"/>
      <c r="H28" s="948" t="s">
        <v>187</v>
      </c>
      <c r="I28" s="948" t="s">
        <v>183</v>
      </c>
      <c r="K28" s="949" t="s">
        <v>1529</v>
      </c>
      <c r="L28" s="950" t="s">
        <v>1532</v>
      </c>
      <c r="M28" s="951" t="s">
        <v>1531</v>
      </c>
      <c r="N28" s="950" t="s">
        <v>1565</v>
      </c>
      <c r="P28" s="1011"/>
      <c r="Q28" s="1012" t="s">
        <v>1550</v>
      </c>
      <c r="R28" s="1007"/>
      <c r="S28" s="1008" t="s">
        <v>1575</v>
      </c>
      <c r="T28" s="1013" t="s">
        <v>1544</v>
      </c>
      <c r="Y28" s="952"/>
    </row>
    <row r="29">
      <c r="A29" s="936"/>
      <c r="B29" s="953" t="s">
        <v>1533</v>
      </c>
      <c r="C29" s="954" t="s">
        <v>376</v>
      </c>
      <c r="D29" s="1010" t="s">
        <v>1568</v>
      </c>
      <c r="E29" s="1010" t="s">
        <v>380</v>
      </c>
      <c r="F29" s="1010" t="s">
        <v>1574</v>
      </c>
      <c r="G29" s="955"/>
      <c r="H29" s="948" t="s">
        <v>187</v>
      </c>
      <c r="I29" s="956"/>
      <c r="K29" s="957" t="s">
        <v>1534</v>
      </c>
      <c r="L29" s="950" t="s">
        <v>1576</v>
      </c>
      <c r="M29" s="958" t="s">
        <v>1535</v>
      </c>
      <c r="N29" s="950" t="s">
        <v>1576</v>
      </c>
      <c r="P29" s="232"/>
      <c r="Q29" s="1012" t="s">
        <v>1551</v>
      </c>
      <c r="R29" s="1007"/>
      <c r="S29" s="1008"/>
      <c r="T29" s="1016"/>
    </row>
    <row r="30">
      <c r="A30" s="936"/>
      <c r="B30" s="953" t="s">
        <v>1536</v>
      </c>
      <c r="C30" s="954" t="s">
        <v>183</v>
      </c>
      <c r="D30" s="1010" t="s">
        <v>163</v>
      </c>
      <c r="E30" s="1010" t="s">
        <v>364</v>
      </c>
      <c r="F30" s="1010" t="s">
        <v>368</v>
      </c>
      <c r="G30" s="955"/>
      <c r="H30" s="948" t="s">
        <v>187</v>
      </c>
      <c r="I30" s="948"/>
      <c r="K30" s="961" t="s">
        <v>1538</v>
      </c>
      <c r="L30" s="950" t="s">
        <v>1576</v>
      </c>
      <c r="M30" s="962" t="s">
        <v>1539</v>
      </c>
      <c r="N30" s="950" t="s">
        <v>1565</v>
      </c>
      <c r="P30" s="232"/>
      <c r="Q30" s="1019"/>
      <c r="R30" s="994"/>
      <c r="S30" s="1020"/>
      <c r="T30" s="1021"/>
    </row>
    <row r="31">
      <c r="A31" s="936"/>
      <c r="B31" s="953" t="s">
        <v>1572</v>
      </c>
      <c r="C31" s="954" t="s">
        <v>1568</v>
      </c>
      <c r="D31" s="1010" t="s">
        <v>372</v>
      </c>
      <c r="E31" s="1010" t="s">
        <v>125</v>
      </c>
      <c r="F31" s="1010" t="s">
        <v>376</v>
      </c>
      <c r="G31" s="955"/>
      <c r="H31" s="948" t="s">
        <v>380</v>
      </c>
      <c r="I31" s="963"/>
      <c r="K31" s="964" t="s">
        <v>1542</v>
      </c>
      <c r="L31" s="950" t="s">
        <v>1570</v>
      </c>
      <c r="M31" s="965" t="s">
        <v>1544</v>
      </c>
      <c r="N31" s="950" t="s">
        <v>1570</v>
      </c>
    </row>
    <row r="32">
      <c r="A32" s="936"/>
      <c r="B32" s="953" t="s">
        <v>1545</v>
      </c>
      <c r="C32" s="954" t="s">
        <v>183</v>
      </c>
      <c r="D32" s="1010" t="s">
        <v>107</v>
      </c>
      <c r="E32" s="1010" t="s">
        <v>1574</v>
      </c>
      <c r="F32" s="1010" t="s">
        <v>364</v>
      </c>
      <c r="G32" s="955"/>
      <c r="H32" s="948" t="s">
        <v>380</v>
      </c>
      <c r="I32" s="963"/>
      <c r="K32" s="970" t="s">
        <v>1546</v>
      </c>
      <c r="L32" s="950" t="s">
        <v>1576</v>
      </c>
      <c r="M32" s="973" t="s">
        <v>1549</v>
      </c>
      <c r="N32" s="950" t="s">
        <v>1565</v>
      </c>
    </row>
    <row r="33">
      <c r="A33" s="936"/>
      <c r="B33" s="966" t="s">
        <v>1577</v>
      </c>
      <c r="C33" s="967" t="s">
        <v>163</v>
      </c>
      <c r="D33" s="1018" t="s">
        <v>372</v>
      </c>
      <c r="E33" s="1018" t="s">
        <v>368</v>
      </c>
      <c r="F33" s="1018" t="s">
        <v>125</v>
      </c>
      <c r="G33" s="968"/>
      <c r="H33" s="969" t="s">
        <v>107</v>
      </c>
      <c r="I33" s="969"/>
      <c r="K33" s="972" t="s">
        <v>1548</v>
      </c>
      <c r="L33" s="950" t="s">
        <v>1570</v>
      </c>
      <c r="M33" s="975" t="s">
        <v>1551</v>
      </c>
      <c r="N33" s="950" t="s">
        <v>1576</v>
      </c>
    </row>
    <row r="34">
      <c r="C34" s="936"/>
      <c r="D34" s="936"/>
      <c r="E34" s="936"/>
      <c r="F34" s="936"/>
      <c r="G34" s="936"/>
      <c r="H34" s="936"/>
      <c r="K34" s="974" t="s">
        <v>1550</v>
      </c>
      <c r="L34" s="950" t="s">
        <v>1576</v>
      </c>
      <c r="M34" s="1022"/>
      <c r="N34" s="1022"/>
    </row>
    <row r="35">
      <c r="K35" s="976" t="s">
        <v>1552</v>
      </c>
      <c r="L35" s="977"/>
      <c r="M35" s="980"/>
      <c r="N35" s="977"/>
    </row>
    <row r="36">
      <c r="A36" s="1022"/>
      <c r="B36" s="1022"/>
      <c r="C36" s="1022"/>
      <c r="D36" s="1022"/>
      <c r="E36" s="1022"/>
      <c r="F36" s="1022"/>
      <c r="G36" s="1022"/>
      <c r="H36" s="1022"/>
      <c r="I36" s="1022"/>
      <c r="J36" s="1022"/>
      <c r="K36" s="980"/>
      <c r="L36" s="977"/>
      <c r="M36" s="980"/>
      <c r="N36" s="977"/>
      <c r="O36" s="1022"/>
    </row>
    <row r="37">
      <c r="A37" s="1022"/>
      <c r="B37" s="1022"/>
      <c r="C37" s="1022"/>
      <c r="D37" s="1022"/>
      <c r="E37" s="1022"/>
      <c r="F37" s="1022"/>
      <c r="G37" s="1022"/>
      <c r="H37" s="1022"/>
      <c r="I37" s="1022"/>
      <c r="J37" s="1022"/>
      <c r="K37" s="980"/>
      <c r="L37" s="977"/>
      <c r="M37" s="980"/>
      <c r="N37" s="977"/>
      <c r="O37" s="1022"/>
    </row>
    <row r="38">
      <c r="A38" s="1022"/>
      <c r="B38" s="1022"/>
      <c r="C38" s="1022"/>
      <c r="D38" s="1022"/>
      <c r="E38" s="1022"/>
      <c r="F38" s="1022"/>
      <c r="G38" s="1022"/>
      <c r="H38" s="1022"/>
      <c r="I38" s="1022"/>
      <c r="J38" s="1022"/>
      <c r="K38" s="980"/>
      <c r="L38" s="977"/>
      <c r="M38" s="980"/>
      <c r="N38" s="977"/>
      <c r="O38" s="1022"/>
    </row>
    <row r="39">
      <c r="A39" s="59"/>
      <c r="B39" s="940">
        <v>45737.0</v>
      </c>
      <c r="C39" s="941" t="s">
        <v>8</v>
      </c>
      <c r="D39" s="941" t="s">
        <v>9</v>
      </c>
      <c r="E39" s="941" t="s">
        <v>10</v>
      </c>
      <c r="F39" s="941" t="s">
        <v>11</v>
      </c>
      <c r="G39" s="941" t="s">
        <v>12</v>
      </c>
      <c r="H39" s="942" t="s">
        <v>1524</v>
      </c>
      <c r="I39" s="942" t="s">
        <v>1525</v>
      </c>
      <c r="K39" s="997" t="s">
        <v>1526</v>
      </c>
      <c r="L39" s="998" t="s">
        <v>1578</v>
      </c>
      <c r="M39" s="997" t="s">
        <v>1526</v>
      </c>
      <c r="N39" s="998" t="s">
        <v>1578</v>
      </c>
      <c r="O39" s="59"/>
      <c r="P39" s="981"/>
      <c r="Q39" s="982" t="s">
        <v>1554</v>
      </c>
      <c r="R39" s="983" t="s">
        <v>1555</v>
      </c>
      <c r="S39" s="984" t="s">
        <v>1556</v>
      </c>
      <c r="T39" s="985" t="s">
        <v>1557</v>
      </c>
    </row>
    <row r="40">
      <c r="A40" s="232"/>
      <c r="B40" s="945" t="s">
        <v>1528</v>
      </c>
      <c r="C40" s="946" t="s">
        <v>187</v>
      </c>
      <c r="D40" s="1004" t="s">
        <v>163</v>
      </c>
      <c r="E40" s="1004" t="s">
        <v>364</v>
      </c>
      <c r="F40" s="1004" t="s">
        <v>368</v>
      </c>
      <c r="G40" s="947"/>
      <c r="H40" s="948" t="s">
        <v>107</v>
      </c>
      <c r="I40" s="948" t="s">
        <v>125</v>
      </c>
      <c r="K40" s="949" t="s">
        <v>1529</v>
      </c>
      <c r="L40" s="950" t="s">
        <v>1576</v>
      </c>
      <c r="M40" s="951" t="s">
        <v>1531</v>
      </c>
      <c r="N40" s="950" t="s">
        <v>1576</v>
      </c>
      <c r="P40" s="986" t="s">
        <v>1558</v>
      </c>
      <c r="Q40" s="987">
        <v>0.3402777777777778</v>
      </c>
      <c r="R40" s="988">
        <v>0.3402777777777778</v>
      </c>
      <c r="S40" s="989">
        <v>0.4583333333333333</v>
      </c>
      <c r="T40" s="990">
        <v>0.5416666666666666</v>
      </c>
    </row>
    <row r="41">
      <c r="A41" s="232"/>
      <c r="B41" s="953" t="s">
        <v>1533</v>
      </c>
      <c r="C41" s="954" t="s">
        <v>187</v>
      </c>
      <c r="D41" s="1010" t="s">
        <v>163</v>
      </c>
      <c r="E41" s="1010" t="s">
        <v>364</v>
      </c>
      <c r="F41" s="1010" t="s">
        <v>368</v>
      </c>
      <c r="G41" s="955"/>
      <c r="H41" s="948" t="s">
        <v>107</v>
      </c>
      <c r="I41" s="956"/>
      <c r="K41" s="957" t="s">
        <v>1534</v>
      </c>
      <c r="L41" s="950" t="s">
        <v>1576</v>
      </c>
      <c r="M41" s="958" t="s">
        <v>1535</v>
      </c>
      <c r="N41" s="950" t="s">
        <v>1565</v>
      </c>
      <c r="P41" s="992" t="s">
        <v>1559</v>
      </c>
      <c r="Q41" s="993" t="s">
        <v>1561</v>
      </c>
      <c r="R41" s="994" t="s">
        <v>1561</v>
      </c>
      <c r="S41" s="995" t="s">
        <v>1561</v>
      </c>
      <c r="T41" s="996" t="s">
        <v>1560</v>
      </c>
    </row>
    <row r="42">
      <c r="A42" s="232"/>
      <c r="B42" s="953" t="s">
        <v>1536</v>
      </c>
      <c r="C42" s="954" t="s">
        <v>125</v>
      </c>
      <c r="D42" s="1010" t="s">
        <v>372</v>
      </c>
      <c r="E42" s="1010" t="s">
        <v>183</v>
      </c>
      <c r="F42" s="1010" t="s">
        <v>380</v>
      </c>
      <c r="G42" s="955"/>
      <c r="H42" s="948" t="s">
        <v>107</v>
      </c>
      <c r="I42" s="948"/>
      <c r="K42" s="961" t="s">
        <v>1538</v>
      </c>
      <c r="L42" s="950" t="s">
        <v>1565</v>
      </c>
      <c r="M42" s="962" t="s">
        <v>1539</v>
      </c>
      <c r="N42" s="950" t="s">
        <v>1576</v>
      </c>
      <c r="P42" s="999" t="s">
        <v>1562</v>
      </c>
      <c r="Q42" s="1000" t="s">
        <v>1534</v>
      </c>
      <c r="R42" s="1001" t="s">
        <v>1542</v>
      </c>
      <c r="S42" s="1002" t="s">
        <v>1544</v>
      </c>
      <c r="T42" s="1003" t="s">
        <v>1546</v>
      </c>
    </row>
    <row r="43">
      <c r="A43" s="232"/>
      <c r="B43" s="953" t="s">
        <v>1572</v>
      </c>
      <c r="C43" s="954" t="s">
        <v>107</v>
      </c>
      <c r="D43" s="1010" t="s">
        <v>376</v>
      </c>
      <c r="E43" s="1010" t="s">
        <v>364</v>
      </c>
      <c r="F43" s="1010" t="s">
        <v>163</v>
      </c>
      <c r="G43" s="955"/>
      <c r="H43" s="948" t="s">
        <v>158</v>
      </c>
      <c r="I43" s="963"/>
      <c r="K43" s="964" t="s">
        <v>1542</v>
      </c>
      <c r="L43" s="950" t="s">
        <v>1576</v>
      </c>
      <c r="M43" s="965" t="s">
        <v>1544</v>
      </c>
      <c r="N43" s="950" t="s">
        <v>1565</v>
      </c>
      <c r="P43" s="1005"/>
      <c r="Q43" s="1006" t="s">
        <v>1549</v>
      </c>
      <c r="R43" s="1007" t="s">
        <v>1575</v>
      </c>
      <c r="S43" s="1008" t="s">
        <v>1535</v>
      </c>
      <c r="T43" s="1009" t="s">
        <v>1550</v>
      </c>
    </row>
    <row r="44">
      <c r="A44" s="232"/>
      <c r="B44" s="953" t="s">
        <v>1545</v>
      </c>
      <c r="C44" s="954" t="s">
        <v>125</v>
      </c>
      <c r="D44" s="1010" t="s">
        <v>372</v>
      </c>
      <c r="E44" s="1010" t="s">
        <v>380</v>
      </c>
      <c r="F44" s="1010" t="s">
        <v>368</v>
      </c>
      <c r="G44" s="955"/>
      <c r="H44" s="948" t="s">
        <v>158</v>
      </c>
      <c r="I44" s="963"/>
      <c r="K44" s="970" t="s">
        <v>1546</v>
      </c>
      <c r="L44" s="950" t="s">
        <v>1570</v>
      </c>
      <c r="M44" s="973" t="s">
        <v>1549</v>
      </c>
      <c r="N44" s="950" t="s">
        <v>1576</v>
      </c>
      <c r="P44" s="1011"/>
      <c r="Q44" s="1012" t="s">
        <v>1539</v>
      </c>
      <c r="R44" s="1007" t="s">
        <v>1548</v>
      </c>
      <c r="S44" s="1008" t="s">
        <v>1579</v>
      </c>
      <c r="T44" s="1013" t="s">
        <v>1551</v>
      </c>
    </row>
    <row r="45">
      <c r="A45" s="232"/>
      <c r="B45" s="966" t="s">
        <v>1577</v>
      </c>
      <c r="C45" s="967" t="s">
        <v>1568</v>
      </c>
      <c r="D45" s="1018" t="s">
        <v>376</v>
      </c>
      <c r="E45" s="1018" t="s">
        <v>183</v>
      </c>
      <c r="F45" s="1018" t="s">
        <v>1574</v>
      </c>
      <c r="G45" s="968"/>
      <c r="H45" s="969" t="s">
        <v>158</v>
      </c>
      <c r="I45" s="969"/>
      <c r="K45" s="972" t="s">
        <v>1548</v>
      </c>
      <c r="L45" s="950" t="s">
        <v>1576</v>
      </c>
      <c r="M45" s="975" t="s">
        <v>1551</v>
      </c>
      <c r="N45" s="950" t="s">
        <v>1570</v>
      </c>
      <c r="P45" s="232"/>
      <c r="Q45" s="1012"/>
      <c r="R45" s="1007" t="s">
        <v>1564</v>
      </c>
      <c r="S45" s="1008"/>
      <c r="T45" s="1016"/>
    </row>
    <row r="46">
      <c r="A46" s="232"/>
      <c r="C46" s="936"/>
      <c r="D46" s="936"/>
      <c r="E46" s="936"/>
      <c r="F46" s="936"/>
      <c r="G46" s="936"/>
      <c r="H46" s="936"/>
      <c r="K46" s="974" t="s">
        <v>1550</v>
      </c>
      <c r="L46" s="950" t="s">
        <v>1570</v>
      </c>
      <c r="M46" s="1022"/>
      <c r="N46" s="1022"/>
      <c r="P46" s="232"/>
      <c r="Q46" s="1019"/>
      <c r="R46" s="994"/>
      <c r="S46" s="1020"/>
      <c r="T46" s="1021"/>
    </row>
    <row r="47">
      <c r="A47" s="232"/>
      <c r="K47" s="976" t="s">
        <v>1552</v>
      </c>
      <c r="L47" s="977"/>
      <c r="M47" s="980"/>
      <c r="N47" s="977"/>
    </row>
    <row r="48">
      <c r="A48" s="232"/>
      <c r="B48" s="232"/>
      <c r="K48" s="939"/>
      <c r="L48" s="938"/>
      <c r="M48" s="939"/>
      <c r="N48" s="938"/>
    </row>
    <row r="49">
      <c r="A49" s="232"/>
      <c r="B49" s="232"/>
      <c r="K49" s="939"/>
      <c r="L49" s="938"/>
      <c r="M49" s="939"/>
      <c r="N49" s="938"/>
    </row>
    <row r="50">
      <c r="A50" s="232"/>
      <c r="B50" s="232"/>
      <c r="K50" s="939"/>
      <c r="L50" s="938"/>
      <c r="M50" s="939"/>
      <c r="N50" s="938"/>
    </row>
    <row r="51">
      <c r="A51" s="232"/>
      <c r="B51" s="940">
        <v>45738.0</v>
      </c>
      <c r="C51" s="941" t="s">
        <v>8</v>
      </c>
      <c r="D51" s="941" t="s">
        <v>9</v>
      </c>
      <c r="E51" s="941" t="s">
        <v>10</v>
      </c>
      <c r="F51" s="941" t="s">
        <v>11</v>
      </c>
      <c r="G51" s="941" t="s">
        <v>12</v>
      </c>
      <c r="H51" s="942" t="s">
        <v>1524</v>
      </c>
      <c r="I51" s="942" t="s">
        <v>1525</v>
      </c>
      <c r="K51" s="997" t="s">
        <v>1526</v>
      </c>
      <c r="L51" s="998" t="s">
        <v>1578</v>
      </c>
      <c r="M51" s="997" t="s">
        <v>1526</v>
      </c>
      <c r="N51" s="998" t="s">
        <v>1578</v>
      </c>
      <c r="P51" s="981"/>
      <c r="Q51" s="982" t="s">
        <v>1554</v>
      </c>
      <c r="R51" s="983" t="s">
        <v>1555</v>
      </c>
      <c r="S51" s="984" t="s">
        <v>1556</v>
      </c>
      <c r="T51" s="985" t="s">
        <v>1557</v>
      </c>
    </row>
    <row r="52">
      <c r="A52" s="232"/>
      <c r="B52" s="945" t="s">
        <v>1528</v>
      </c>
      <c r="C52" s="946" t="s">
        <v>376</v>
      </c>
      <c r="D52" s="1004" t="s">
        <v>380</v>
      </c>
      <c r="E52" s="1004" t="s">
        <v>1568</v>
      </c>
      <c r="F52" s="1004" t="s">
        <v>183</v>
      </c>
      <c r="G52" s="947"/>
      <c r="H52" s="948" t="s">
        <v>158</v>
      </c>
      <c r="I52" s="948" t="s">
        <v>372</v>
      </c>
      <c r="K52" s="949" t="s">
        <v>1529</v>
      </c>
      <c r="L52" s="950" t="s">
        <v>1576</v>
      </c>
      <c r="M52" s="951" t="s">
        <v>1531</v>
      </c>
      <c r="N52" s="950" t="s">
        <v>1570</v>
      </c>
      <c r="P52" s="986" t="s">
        <v>1558</v>
      </c>
      <c r="Q52" s="987">
        <v>0.3402777777777778</v>
      </c>
      <c r="R52" s="988">
        <v>0.3402777777777778</v>
      </c>
      <c r="S52" s="989">
        <v>0.4583333333333333</v>
      </c>
      <c r="T52" s="990">
        <v>0.5416666666666666</v>
      </c>
    </row>
    <row r="53">
      <c r="A53" s="232"/>
      <c r="B53" s="953" t="s">
        <v>1533</v>
      </c>
      <c r="C53" s="954" t="s">
        <v>376</v>
      </c>
      <c r="D53" s="1010" t="s">
        <v>380</v>
      </c>
      <c r="E53" s="1010" t="s">
        <v>1568</v>
      </c>
      <c r="F53" s="1010" t="s">
        <v>183</v>
      </c>
      <c r="G53" s="955"/>
      <c r="H53" s="948" t="s">
        <v>158</v>
      </c>
      <c r="I53" s="956"/>
      <c r="K53" s="957" t="s">
        <v>1534</v>
      </c>
      <c r="L53" s="950" t="s">
        <v>1576</v>
      </c>
      <c r="M53" s="958" t="s">
        <v>1535</v>
      </c>
      <c r="N53" s="950" t="s">
        <v>1576</v>
      </c>
      <c r="P53" s="992" t="s">
        <v>1559</v>
      </c>
      <c r="Q53" s="993" t="s">
        <v>1561</v>
      </c>
      <c r="R53" s="994" t="s">
        <v>1560</v>
      </c>
      <c r="S53" s="995" t="s">
        <v>1561</v>
      </c>
      <c r="T53" s="996" t="s">
        <v>1561</v>
      </c>
    </row>
    <row r="54">
      <c r="A54" s="232"/>
      <c r="B54" s="953" t="s">
        <v>1536</v>
      </c>
      <c r="C54" s="954" t="s">
        <v>125</v>
      </c>
      <c r="D54" s="1010" t="s">
        <v>372</v>
      </c>
      <c r="E54" s="1010" t="s">
        <v>364</v>
      </c>
      <c r="F54" s="1010" t="s">
        <v>368</v>
      </c>
      <c r="G54" s="955"/>
      <c r="H54" s="948" t="s">
        <v>158</v>
      </c>
      <c r="I54" s="948"/>
      <c r="K54" s="961" t="s">
        <v>1538</v>
      </c>
      <c r="L54" s="950" t="s">
        <v>1576</v>
      </c>
      <c r="M54" s="962" t="s">
        <v>1539</v>
      </c>
      <c r="N54" s="950" t="s">
        <v>1565</v>
      </c>
      <c r="P54" s="999" t="s">
        <v>1562</v>
      </c>
      <c r="Q54" s="1000" t="s">
        <v>1534</v>
      </c>
      <c r="R54" s="1001" t="s">
        <v>1546</v>
      </c>
      <c r="S54" s="1002" t="s">
        <v>1549</v>
      </c>
      <c r="T54" s="1003" t="s">
        <v>1542</v>
      </c>
    </row>
    <row r="55">
      <c r="A55" s="232"/>
      <c r="B55" s="953" t="s">
        <v>1572</v>
      </c>
      <c r="C55" s="954" t="s">
        <v>183</v>
      </c>
      <c r="D55" s="1010" t="s">
        <v>1568</v>
      </c>
      <c r="E55" s="1010" t="s">
        <v>163</v>
      </c>
      <c r="F55" s="1010" t="s">
        <v>380</v>
      </c>
      <c r="G55" s="955"/>
      <c r="H55" s="948" t="s">
        <v>107</v>
      </c>
      <c r="I55" s="963"/>
      <c r="K55" s="964" t="s">
        <v>1542</v>
      </c>
      <c r="L55" s="950" t="s">
        <v>1570</v>
      </c>
      <c r="M55" s="965" t="s">
        <v>1544</v>
      </c>
      <c r="N55" s="950" t="s">
        <v>1576</v>
      </c>
      <c r="P55" s="1005"/>
      <c r="Q55" s="1006" t="s">
        <v>1564</v>
      </c>
      <c r="R55" s="1007" t="s">
        <v>1538</v>
      </c>
      <c r="S55" s="1008" t="s">
        <v>1539</v>
      </c>
      <c r="T55" s="1009" t="s">
        <v>1531</v>
      </c>
    </row>
    <row r="56">
      <c r="A56" s="232"/>
      <c r="B56" s="953" t="s">
        <v>1545</v>
      </c>
      <c r="C56" s="954" t="s">
        <v>364</v>
      </c>
      <c r="D56" s="1010" t="s">
        <v>125</v>
      </c>
      <c r="E56" s="1010" t="s">
        <v>372</v>
      </c>
      <c r="F56" s="1010" t="s">
        <v>125</v>
      </c>
      <c r="G56" s="955"/>
      <c r="H56" s="948" t="s">
        <v>107</v>
      </c>
      <c r="I56" s="963"/>
      <c r="K56" s="970" t="s">
        <v>1546</v>
      </c>
      <c r="L56" s="950" t="s">
        <v>1576</v>
      </c>
      <c r="M56" s="974" t="s">
        <v>1550</v>
      </c>
      <c r="N56" s="950" t="s">
        <v>1576</v>
      </c>
      <c r="P56" s="1011"/>
      <c r="Q56" s="1012" t="s">
        <v>1544</v>
      </c>
      <c r="R56" s="1007" t="s">
        <v>1550</v>
      </c>
      <c r="S56" s="1008" t="s">
        <v>1548</v>
      </c>
      <c r="T56" s="1013"/>
    </row>
    <row r="57">
      <c r="A57" s="232"/>
      <c r="B57" s="966" t="s">
        <v>1577</v>
      </c>
      <c r="C57" s="967" t="s">
        <v>163</v>
      </c>
      <c r="D57" s="1018" t="s">
        <v>107</v>
      </c>
      <c r="E57" s="1018" t="s">
        <v>368</v>
      </c>
      <c r="F57" s="1018" t="s">
        <v>158</v>
      </c>
      <c r="G57" s="968"/>
      <c r="H57" s="969" t="s">
        <v>187</v>
      </c>
      <c r="I57" s="969"/>
      <c r="K57" s="972" t="s">
        <v>1548</v>
      </c>
      <c r="L57" s="950" t="s">
        <v>1565</v>
      </c>
      <c r="M57" s="973" t="s">
        <v>1549</v>
      </c>
      <c r="N57" s="950" t="s">
        <v>1565</v>
      </c>
      <c r="P57" s="232"/>
      <c r="Q57" s="1012" t="s">
        <v>1535</v>
      </c>
      <c r="R57" s="1007"/>
      <c r="S57" s="1008"/>
      <c r="T57" s="1016"/>
    </row>
    <row r="58">
      <c r="A58" s="232"/>
      <c r="C58" s="936"/>
      <c r="D58" s="936"/>
      <c r="E58" s="936"/>
      <c r="F58" s="936"/>
      <c r="G58" s="936"/>
      <c r="H58" s="936"/>
      <c r="K58" s="976" t="s">
        <v>1552</v>
      </c>
      <c r="L58" s="1023"/>
      <c r="M58" s="1022"/>
      <c r="N58" s="1023"/>
      <c r="P58" s="232"/>
      <c r="Q58" s="1024"/>
      <c r="R58" s="994"/>
      <c r="S58" s="1020"/>
      <c r="T58" s="1021"/>
    </row>
    <row r="59">
      <c r="A59" s="232"/>
      <c r="K59" s="976"/>
      <c r="L59" s="977"/>
      <c r="M59" s="980"/>
      <c r="N59" s="977"/>
    </row>
    <row r="60">
      <c r="A60" s="232"/>
      <c r="B60" s="232"/>
      <c r="K60" s="939"/>
      <c r="L60" s="938"/>
      <c r="M60" s="939"/>
      <c r="N60" s="938"/>
    </row>
    <row r="61">
      <c r="A61" s="232"/>
      <c r="B61" s="232"/>
      <c r="K61" s="939"/>
      <c r="L61" s="938"/>
      <c r="M61" s="939"/>
      <c r="N61" s="938"/>
    </row>
    <row r="62">
      <c r="A62" s="232"/>
      <c r="B62" s="232"/>
      <c r="K62" s="939"/>
      <c r="L62" s="938"/>
      <c r="M62" s="939"/>
      <c r="N62" s="938"/>
    </row>
    <row r="63">
      <c r="A63" s="232"/>
      <c r="B63" s="940">
        <v>45739.0</v>
      </c>
      <c r="C63" s="941" t="s">
        <v>8</v>
      </c>
      <c r="D63" s="941" t="s">
        <v>9</v>
      </c>
      <c r="E63" s="941" t="s">
        <v>10</v>
      </c>
      <c r="F63" s="941" t="s">
        <v>11</v>
      </c>
      <c r="G63" s="941" t="s">
        <v>12</v>
      </c>
      <c r="H63" s="942" t="s">
        <v>1524</v>
      </c>
      <c r="I63" s="942" t="s">
        <v>1525</v>
      </c>
      <c r="K63" s="997" t="s">
        <v>1526</v>
      </c>
      <c r="L63" s="998" t="s">
        <v>1527</v>
      </c>
      <c r="M63" s="997" t="s">
        <v>1526</v>
      </c>
      <c r="N63" s="998" t="s">
        <v>1527</v>
      </c>
      <c r="P63" s="981"/>
      <c r="Q63" s="982" t="s">
        <v>1554</v>
      </c>
      <c r="R63" s="985" t="s">
        <v>1555</v>
      </c>
    </row>
    <row r="64">
      <c r="A64" s="232"/>
      <c r="B64" s="945" t="s">
        <v>1528</v>
      </c>
      <c r="C64" s="946" t="s">
        <v>163</v>
      </c>
      <c r="D64" s="947"/>
      <c r="E64" s="947"/>
      <c r="F64" s="947"/>
      <c r="G64" s="947"/>
      <c r="H64" s="948" t="s">
        <v>107</v>
      </c>
      <c r="I64" s="948" t="s">
        <v>125</v>
      </c>
      <c r="K64" s="949" t="s">
        <v>1529</v>
      </c>
      <c r="L64" s="950" t="s">
        <v>1532</v>
      </c>
      <c r="M64" s="951" t="s">
        <v>1531</v>
      </c>
      <c r="N64" s="950" t="s">
        <v>1576</v>
      </c>
      <c r="P64" s="986" t="s">
        <v>1558</v>
      </c>
      <c r="Q64" s="987">
        <v>0.3402777777777778</v>
      </c>
      <c r="R64" s="990">
        <v>0.4583333333333333</v>
      </c>
    </row>
    <row r="65">
      <c r="A65" s="232"/>
      <c r="B65" s="953" t="s">
        <v>1533</v>
      </c>
      <c r="C65" s="954" t="s">
        <v>163</v>
      </c>
      <c r="D65" s="955"/>
      <c r="E65" s="955"/>
      <c r="F65" s="955"/>
      <c r="G65" s="955"/>
      <c r="H65" s="948" t="s">
        <v>107</v>
      </c>
      <c r="I65" s="956"/>
      <c r="K65" s="957" t="s">
        <v>1534</v>
      </c>
      <c r="L65" s="950" t="s">
        <v>1565</v>
      </c>
      <c r="M65" s="958" t="s">
        <v>1535</v>
      </c>
      <c r="N65" s="950" t="s">
        <v>1565</v>
      </c>
      <c r="P65" s="992" t="s">
        <v>1559</v>
      </c>
      <c r="Q65" s="993" t="s">
        <v>1561</v>
      </c>
      <c r="R65" s="996" t="s">
        <v>1561</v>
      </c>
    </row>
    <row r="66">
      <c r="A66" s="232"/>
      <c r="B66" s="953" t="s">
        <v>1536</v>
      </c>
      <c r="C66" s="954" t="s">
        <v>183</v>
      </c>
      <c r="D66" s="955"/>
      <c r="E66" s="955"/>
      <c r="F66" s="955"/>
      <c r="G66" s="955"/>
      <c r="H66" s="948" t="s">
        <v>107</v>
      </c>
      <c r="I66" s="948"/>
      <c r="K66" s="964" t="s">
        <v>1542</v>
      </c>
      <c r="L66" s="950" t="s">
        <v>1576</v>
      </c>
      <c r="M66" s="965" t="s">
        <v>1544</v>
      </c>
      <c r="N66" s="950" t="s">
        <v>1565</v>
      </c>
      <c r="P66" s="999" t="s">
        <v>1562</v>
      </c>
      <c r="Q66" s="1000" t="s">
        <v>1542</v>
      </c>
      <c r="R66" s="1003" t="s">
        <v>1534</v>
      </c>
    </row>
    <row r="67">
      <c r="A67" s="232"/>
      <c r="B67" s="953" t="s">
        <v>1580</v>
      </c>
      <c r="C67" s="954" t="s">
        <v>372</v>
      </c>
      <c r="D67" s="955"/>
      <c r="E67" s="955"/>
      <c r="F67" s="955"/>
      <c r="G67" s="955"/>
      <c r="H67" s="948" t="s">
        <v>107</v>
      </c>
      <c r="I67" s="963"/>
      <c r="K67" s="972" t="s">
        <v>1548</v>
      </c>
      <c r="L67" s="950" t="s">
        <v>1576</v>
      </c>
      <c r="M67" s="980"/>
      <c r="N67" s="977"/>
      <c r="P67" s="1005"/>
      <c r="Q67" s="1006" t="s">
        <v>1548</v>
      </c>
      <c r="R67" s="1013" t="s">
        <v>1535</v>
      </c>
    </row>
    <row r="68">
      <c r="A68" s="232"/>
      <c r="B68" s="953" t="s">
        <v>1545</v>
      </c>
      <c r="C68" s="954" t="s">
        <v>183</v>
      </c>
      <c r="D68" s="955"/>
      <c r="E68" s="955"/>
      <c r="F68" s="955"/>
      <c r="G68" s="955"/>
      <c r="H68" s="948" t="s">
        <v>107</v>
      </c>
      <c r="I68" s="948"/>
      <c r="K68" s="976" t="s">
        <v>1552</v>
      </c>
      <c r="L68" s="1023"/>
      <c r="M68" s="939"/>
      <c r="N68" s="938"/>
      <c r="P68" s="1011"/>
      <c r="Q68" s="1012" t="s">
        <v>1531</v>
      </c>
      <c r="R68" s="1013" t="s">
        <v>1581</v>
      </c>
    </row>
    <row r="69">
      <c r="A69" s="232"/>
      <c r="B69" s="966" t="s">
        <v>1577</v>
      </c>
      <c r="C69" s="967" t="s">
        <v>372</v>
      </c>
      <c r="D69" s="968"/>
      <c r="E69" s="968"/>
      <c r="F69" s="968"/>
      <c r="G69" s="968"/>
      <c r="H69" s="948" t="s">
        <v>107</v>
      </c>
      <c r="I69" s="969"/>
      <c r="K69" s="976"/>
      <c r="L69" s="1023"/>
      <c r="M69" s="1022"/>
      <c r="N69" s="1023"/>
      <c r="P69" s="1011"/>
      <c r="Q69" s="1024"/>
      <c r="R69" s="996"/>
    </row>
    <row r="70">
      <c r="A70" s="232"/>
      <c r="K70" s="976"/>
      <c r="L70" s="1023"/>
      <c r="M70" s="980"/>
      <c r="N70" s="977"/>
      <c r="P70" s="232"/>
    </row>
    <row r="71">
      <c r="A71" s="232"/>
      <c r="C71" s="936"/>
      <c r="D71" s="936"/>
      <c r="E71" s="936"/>
      <c r="F71" s="936"/>
      <c r="G71" s="936"/>
      <c r="H71" s="936"/>
      <c r="K71" s="976"/>
      <c r="L71" s="1023"/>
      <c r="M71" s="1022"/>
      <c r="N71" s="1023"/>
      <c r="P71" s="232"/>
    </row>
    <row r="72">
      <c r="A72" s="232"/>
      <c r="K72" s="976"/>
      <c r="L72" s="977"/>
      <c r="M72" s="980"/>
      <c r="N72" s="977"/>
    </row>
    <row r="73">
      <c r="A73" s="232"/>
      <c r="B73" s="232"/>
      <c r="K73" s="939"/>
      <c r="L73" s="938"/>
      <c r="M73" s="939"/>
      <c r="N73" s="938"/>
    </row>
    <row r="74">
      <c r="A74" s="232"/>
      <c r="B74" s="232"/>
      <c r="K74" s="939"/>
      <c r="L74" s="938"/>
      <c r="M74" s="939"/>
      <c r="N74" s="938"/>
    </row>
    <row r="75">
      <c r="A75" s="232"/>
      <c r="B75" s="232"/>
      <c r="K75" s="939"/>
      <c r="L75" s="938"/>
      <c r="M75" s="939"/>
      <c r="N75" s="938"/>
    </row>
    <row r="76">
      <c r="A76" s="232"/>
      <c r="B76" s="940">
        <v>45740.0</v>
      </c>
      <c r="C76" s="941" t="s">
        <v>8</v>
      </c>
      <c r="D76" s="941" t="s">
        <v>9</v>
      </c>
      <c r="E76" s="941" t="s">
        <v>10</v>
      </c>
      <c r="F76" s="941" t="s">
        <v>11</v>
      </c>
      <c r="G76" s="941" t="s">
        <v>12</v>
      </c>
      <c r="H76" s="942" t="s">
        <v>1524</v>
      </c>
      <c r="I76" s="942" t="s">
        <v>1525</v>
      </c>
      <c r="K76" s="997" t="s">
        <v>1526</v>
      </c>
      <c r="L76" s="998" t="s">
        <v>1527</v>
      </c>
      <c r="M76" s="997" t="s">
        <v>1526</v>
      </c>
      <c r="N76" s="998" t="s">
        <v>1527</v>
      </c>
      <c r="P76" s="981"/>
      <c r="Q76" s="982" t="s">
        <v>1554</v>
      </c>
      <c r="R76" s="985" t="s">
        <v>1555</v>
      </c>
    </row>
    <row r="77">
      <c r="A77" s="232"/>
      <c r="B77" s="945" t="s">
        <v>1528</v>
      </c>
      <c r="C77" s="946" t="s">
        <v>183</v>
      </c>
      <c r="D77" s="947"/>
      <c r="E77" s="947"/>
      <c r="F77" s="947"/>
      <c r="G77" s="947"/>
      <c r="H77" s="948" t="s">
        <v>187</v>
      </c>
      <c r="I77" s="948" t="s">
        <v>183</v>
      </c>
      <c r="K77" s="949" t="s">
        <v>1529</v>
      </c>
      <c r="L77" s="950" t="s">
        <v>1570</v>
      </c>
      <c r="M77" s="951" t="s">
        <v>1531</v>
      </c>
      <c r="N77" s="950" t="s">
        <v>1570</v>
      </c>
      <c r="P77" s="986" t="s">
        <v>1558</v>
      </c>
      <c r="Q77" s="987">
        <v>0.3645833333333333</v>
      </c>
      <c r="R77" s="990">
        <v>0.5416666666666666</v>
      </c>
    </row>
    <row r="78">
      <c r="A78" s="232"/>
      <c r="B78" s="953" t="s">
        <v>1533</v>
      </c>
      <c r="C78" s="954" t="s">
        <v>183</v>
      </c>
      <c r="D78" s="955"/>
      <c r="E78" s="955"/>
      <c r="F78" s="955"/>
      <c r="G78" s="955"/>
      <c r="H78" s="948" t="s">
        <v>187</v>
      </c>
      <c r="I78" s="956"/>
      <c r="K78" s="957" t="s">
        <v>1534</v>
      </c>
      <c r="L78" s="950" t="s">
        <v>1582</v>
      </c>
      <c r="M78" s="958" t="s">
        <v>1535</v>
      </c>
      <c r="N78" s="950" t="s">
        <v>1582</v>
      </c>
      <c r="P78" s="992" t="s">
        <v>1559</v>
      </c>
      <c r="Q78" s="993" t="s">
        <v>1561</v>
      </c>
      <c r="R78" s="996" t="s">
        <v>1561</v>
      </c>
    </row>
    <row r="79">
      <c r="A79" s="232"/>
      <c r="B79" s="953" t="s">
        <v>1536</v>
      </c>
      <c r="C79" s="954" t="s">
        <v>125</v>
      </c>
      <c r="D79" s="955"/>
      <c r="E79" s="955"/>
      <c r="F79" s="955"/>
      <c r="G79" s="955"/>
      <c r="H79" s="948" t="s">
        <v>158</v>
      </c>
      <c r="I79" s="948"/>
      <c r="K79" s="964" t="s">
        <v>1542</v>
      </c>
      <c r="L79" s="950" t="s">
        <v>1532</v>
      </c>
      <c r="M79" s="965" t="s">
        <v>1544</v>
      </c>
      <c r="N79" s="950" t="s">
        <v>1570</v>
      </c>
      <c r="P79" s="999" t="s">
        <v>1562</v>
      </c>
      <c r="Q79" s="1000" t="s">
        <v>1534</v>
      </c>
      <c r="R79" s="1003" t="s">
        <v>1564</v>
      </c>
    </row>
    <row r="80">
      <c r="A80" s="232"/>
      <c r="B80" s="966" t="s">
        <v>1572</v>
      </c>
      <c r="C80" s="967" t="s">
        <v>163</v>
      </c>
      <c r="D80" s="968"/>
      <c r="E80" s="968"/>
      <c r="F80" s="968"/>
      <c r="G80" s="968"/>
      <c r="H80" s="969" t="s">
        <v>158</v>
      </c>
      <c r="I80" s="969"/>
      <c r="K80" s="972" t="s">
        <v>1548</v>
      </c>
      <c r="L80" s="950" t="s">
        <v>1570</v>
      </c>
      <c r="M80" s="980"/>
      <c r="N80" s="977"/>
      <c r="P80" s="1005"/>
      <c r="Q80" s="1006" t="s">
        <v>1535</v>
      </c>
      <c r="R80" s="1013" t="s">
        <v>1548</v>
      </c>
    </row>
    <row r="81">
      <c r="A81" s="232"/>
      <c r="K81" s="976" t="s">
        <v>1552</v>
      </c>
      <c r="L81" s="1023"/>
      <c r="M81" s="939"/>
      <c r="N81" s="938"/>
      <c r="P81" s="1011"/>
      <c r="Q81" s="1012"/>
      <c r="R81" s="1013" t="s">
        <v>1581</v>
      </c>
    </row>
    <row r="82">
      <c r="A82" s="232"/>
      <c r="C82" s="936"/>
      <c r="D82" s="936"/>
      <c r="E82" s="936"/>
      <c r="F82" s="936"/>
      <c r="G82" s="936"/>
      <c r="H82" s="936"/>
      <c r="K82" s="976"/>
      <c r="L82" s="1023"/>
      <c r="M82" s="1022"/>
      <c r="N82" s="1023"/>
      <c r="P82" s="1011"/>
      <c r="Q82" s="1024"/>
      <c r="R82" s="996" t="s">
        <v>1531</v>
      </c>
    </row>
    <row r="83">
      <c r="A83" s="232"/>
      <c r="B83" s="940">
        <v>45740.0</v>
      </c>
      <c r="C83" s="941" t="s">
        <v>411</v>
      </c>
      <c r="D83" s="941" t="s">
        <v>8</v>
      </c>
      <c r="E83" s="941"/>
      <c r="F83" s="941"/>
      <c r="G83" s="941"/>
      <c r="H83" s="942" t="s">
        <v>1524</v>
      </c>
      <c r="I83" s="942" t="s">
        <v>1525</v>
      </c>
      <c r="K83" s="997" t="s">
        <v>1526</v>
      </c>
      <c r="L83" s="998" t="s">
        <v>1527</v>
      </c>
      <c r="M83" s="997" t="s">
        <v>1526</v>
      </c>
      <c r="N83" s="998" t="s">
        <v>1527</v>
      </c>
    </row>
    <row r="84">
      <c r="A84" s="232"/>
      <c r="B84" s="945" t="s">
        <v>1528</v>
      </c>
      <c r="C84" s="946" t="s">
        <v>125</v>
      </c>
      <c r="D84" s="947"/>
      <c r="E84" s="947"/>
      <c r="F84" s="947"/>
      <c r="G84" s="947"/>
      <c r="H84" s="948" t="s">
        <v>187</v>
      </c>
      <c r="I84" s="948" t="s">
        <v>372</v>
      </c>
      <c r="K84" s="949" t="s">
        <v>1529</v>
      </c>
      <c r="L84" s="950" t="s">
        <v>1563</v>
      </c>
      <c r="M84" s="951" t="s">
        <v>1531</v>
      </c>
      <c r="N84" s="950" t="s">
        <v>1570</v>
      </c>
      <c r="P84" s="981"/>
      <c r="Q84" s="982" t="s">
        <v>1554</v>
      </c>
      <c r="R84" s="985" t="s">
        <v>1555</v>
      </c>
    </row>
    <row r="85">
      <c r="A85" s="232"/>
      <c r="B85" s="953" t="s">
        <v>1533</v>
      </c>
      <c r="C85" s="954" t="s">
        <v>125</v>
      </c>
      <c r="D85" s="955"/>
      <c r="E85" s="955"/>
      <c r="F85" s="955"/>
      <c r="G85" s="955"/>
      <c r="H85" s="948" t="s">
        <v>187</v>
      </c>
      <c r="I85" s="956"/>
      <c r="K85" s="957" t="s">
        <v>1534</v>
      </c>
      <c r="L85" s="950" t="s">
        <v>1563</v>
      </c>
      <c r="M85" s="965" t="s">
        <v>1544</v>
      </c>
      <c r="N85" s="950" t="s">
        <v>1563</v>
      </c>
      <c r="P85" s="986" t="s">
        <v>1558</v>
      </c>
      <c r="Q85" s="987">
        <v>0.3402777777777778</v>
      </c>
      <c r="R85" s="990">
        <v>0.5416666666666666</v>
      </c>
    </row>
    <row r="86">
      <c r="A86" s="232"/>
      <c r="B86" s="966" t="s">
        <v>1536</v>
      </c>
      <c r="C86" s="967" t="s">
        <v>372</v>
      </c>
      <c r="D86" s="968"/>
      <c r="E86" s="968"/>
      <c r="F86" s="968"/>
      <c r="G86" s="968"/>
      <c r="H86" s="969" t="s">
        <v>187</v>
      </c>
      <c r="I86" s="969"/>
      <c r="K86" s="964" t="s">
        <v>1542</v>
      </c>
      <c r="L86" s="950" t="s">
        <v>1570</v>
      </c>
      <c r="M86" s="980"/>
      <c r="N86" s="977"/>
      <c r="P86" s="992" t="s">
        <v>1559</v>
      </c>
      <c r="Q86" s="993" t="s">
        <v>1561</v>
      </c>
      <c r="R86" s="996" t="s">
        <v>1561</v>
      </c>
    </row>
    <row r="87">
      <c r="A87" s="232"/>
      <c r="B87" s="232"/>
      <c r="C87" s="232"/>
      <c r="D87" s="232"/>
      <c r="E87" s="232"/>
      <c r="F87" s="232"/>
      <c r="G87" s="232"/>
      <c r="H87" s="232"/>
      <c r="I87" s="232"/>
      <c r="J87" s="232"/>
      <c r="K87" s="972" t="s">
        <v>1548</v>
      </c>
      <c r="L87" s="950" t="s">
        <v>1563</v>
      </c>
      <c r="P87" s="999" t="s">
        <v>1562</v>
      </c>
      <c r="Q87" s="1000" t="s">
        <v>1534</v>
      </c>
      <c r="R87" s="1003" t="s">
        <v>1542</v>
      </c>
    </row>
    <row r="88">
      <c r="A88" s="232"/>
      <c r="B88" s="232"/>
      <c r="K88" s="939"/>
      <c r="L88" s="938"/>
      <c r="M88" s="939"/>
      <c r="N88" s="938"/>
      <c r="P88" s="1005"/>
      <c r="Q88" s="1006" t="s">
        <v>1564</v>
      </c>
      <c r="R88" s="1013" t="s">
        <v>1531</v>
      </c>
    </row>
    <row r="89">
      <c r="A89" s="232"/>
      <c r="B89" s="232"/>
      <c r="K89" s="939"/>
      <c r="L89" s="938"/>
      <c r="M89" s="939"/>
      <c r="N89" s="938"/>
      <c r="P89" s="1011"/>
      <c r="Q89" s="1012" t="s">
        <v>1548</v>
      </c>
      <c r="R89" s="1013"/>
    </row>
    <row r="90">
      <c r="A90" s="232"/>
      <c r="B90" s="232"/>
      <c r="K90" s="939"/>
      <c r="L90" s="938"/>
      <c r="M90" s="939"/>
      <c r="N90" s="938"/>
      <c r="P90" s="1011"/>
      <c r="Q90" s="1024" t="s">
        <v>1544</v>
      </c>
      <c r="R90" s="996"/>
    </row>
    <row r="91">
      <c r="A91" s="232"/>
      <c r="B91" s="232"/>
      <c r="K91" s="939"/>
      <c r="L91" s="938"/>
      <c r="M91" s="939"/>
      <c r="N91" s="938"/>
    </row>
    <row r="92">
      <c r="A92" s="232"/>
      <c r="B92" s="232"/>
      <c r="K92" s="939"/>
      <c r="L92" s="938"/>
      <c r="M92" s="939"/>
      <c r="N92" s="938"/>
    </row>
    <row r="93">
      <c r="A93" s="232"/>
      <c r="B93" s="232"/>
      <c r="K93" s="939"/>
      <c r="L93" s="938"/>
      <c r="M93" s="939"/>
      <c r="N93" s="938"/>
    </row>
    <row r="94">
      <c r="A94" s="232"/>
      <c r="B94" s="232"/>
      <c r="K94" s="939"/>
      <c r="L94" s="938"/>
      <c r="M94" s="939"/>
      <c r="N94" s="938"/>
    </row>
    <row r="95">
      <c r="A95" s="232"/>
      <c r="B95" s="232"/>
      <c r="K95" s="939"/>
      <c r="L95" s="938"/>
      <c r="M95" s="939"/>
      <c r="N95" s="938"/>
    </row>
    <row r="96">
      <c r="A96" s="232"/>
      <c r="B96" s="232"/>
      <c r="K96" s="939"/>
      <c r="L96" s="938"/>
      <c r="M96" s="939"/>
      <c r="N96" s="938"/>
    </row>
    <row r="97">
      <c r="A97" s="232"/>
      <c r="B97" s="232"/>
      <c r="K97" s="939"/>
      <c r="L97" s="938"/>
      <c r="M97" s="939"/>
      <c r="N97" s="938"/>
    </row>
    <row r="98">
      <c r="A98" s="232"/>
      <c r="B98" s="232"/>
      <c r="K98" s="939"/>
      <c r="L98" s="938"/>
      <c r="M98" s="939"/>
      <c r="N98" s="938"/>
    </row>
    <row r="99">
      <c r="A99" s="232"/>
      <c r="B99" s="232"/>
      <c r="K99" s="939"/>
      <c r="L99" s="938"/>
      <c r="M99" s="939"/>
      <c r="N99" s="938"/>
    </row>
    <row r="100">
      <c r="A100" s="232"/>
      <c r="B100" s="232"/>
      <c r="K100" s="939"/>
      <c r="L100" s="938"/>
      <c r="M100" s="939"/>
      <c r="N100" s="938"/>
    </row>
    <row r="101">
      <c r="A101" s="232"/>
      <c r="B101" s="232"/>
      <c r="K101" s="939"/>
      <c r="L101" s="938"/>
      <c r="M101" s="939"/>
      <c r="N101" s="938"/>
    </row>
    <row r="102">
      <c r="A102" s="232"/>
      <c r="B102" s="232"/>
      <c r="K102" s="939"/>
      <c r="L102" s="938"/>
      <c r="M102" s="939"/>
      <c r="N102" s="938"/>
    </row>
    <row r="103">
      <c r="A103" s="232"/>
      <c r="B103" s="232"/>
      <c r="K103" s="939"/>
      <c r="L103" s="938"/>
      <c r="M103" s="939"/>
      <c r="N103" s="938"/>
    </row>
    <row r="104">
      <c r="A104" s="232"/>
      <c r="B104" s="232"/>
      <c r="K104" s="939"/>
      <c r="L104" s="938"/>
      <c r="M104" s="939"/>
      <c r="N104" s="938"/>
    </row>
    <row r="105">
      <c r="A105" s="232"/>
      <c r="B105" s="232"/>
      <c r="K105" s="939"/>
      <c r="L105" s="938"/>
      <c r="M105" s="939"/>
      <c r="N105" s="938"/>
    </row>
    <row r="106">
      <c r="A106" s="232"/>
      <c r="B106" s="232"/>
      <c r="K106" s="939"/>
      <c r="L106" s="938"/>
      <c r="M106" s="939"/>
      <c r="N106" s="938"/>
    </row>
    <row r="107">
      <c r="A107" s="232"/>
      <c r="B107" s="232"/>
      <c r="K107" s="939"/>
      <c r="L107" s="938"/>
      <c r="M107" s="939"/>
      <c r="N107" s="938"/>
    </row>
    <row r="108">
      <c r="A108" s="232"/>
      <c r="B108" s="232"/>
      <c r="K108" s="939"/>
      <c r="L108" s="938"/>
      <c r="M108" s="939"/>
      <c r="N108" s="938"/>
    </row>
    <row r="109">
      <c r="A109" s="232"/>
      <c r="B109" s="232"/>
      <c r="K109" s="939"/>
      <c r="L109" s="938"/>
      <c r="M109" s="939"/>
      <c r="N109" s="938"/>
    </row>
    <row r="110">
      <c r="A110" s="232"/>
      <c r="B110" s="232"/>
      <c r="K110" s="939"/>
      <c r="L110" s="938"/>
      <c r="M110" s="939"/>
      <c r="N110" s="938"/>
    </row>
    <row r="111">
      <c r="A111" s="232"/>
      <c r="B111" s="232"/>
      <c r="K111" s="939"/>
      <c r="L111" s="938"/>
      <c r="M111" s="939"/>
      <c r="N111" s="938"/>
    </row>
    <row r="112">
      <c r="A112" s="232"/>
      <c r="B112" s="232"/>
      <c r="K112" s="939"/>
      <c r="L112" s="938"/>
      <c r="M112" s="939"/>
      <c r="N112" s="938"/>
    </row>
    <row r="113">
      <c r="A113" s="232"/>
      <c r="B113" s="232"/>
      <c r="K113" s="939"/>
      <c r="L113" s="938"/>
      <c r="M113" s="939"/>
      <c r="N113" s="938"/>
    </row>
    <row r="114">
      <c r="A114" s="232"/>
      <c r="B114" s="232"/>
      <c r="K114" s="939"/>
      <c r="L114" s="938"/>
      <c r="M114" s="939"/>
      <c r="N114" s="938"/>
    </row>
    <row r="115">
      <c r="A115" s="232"/>
      <c r="B115" s="232"/>
      <c r="K115" s="939"/>
      <c r="L115" s="938"/>
      <c r="M115" s="939"/>
      <c r="N115" s="938"/>
    </row>
    <row r="116">
      <c r="A116" s="232"/>
      <c r="B116" s="232"/>
      <c r="K116" s="939"/>
      <c r="L116" s="938"/>
      <c r="M116" s="939"/>
      <c r="N116" s="938"/>
    </row>
    <row r="117">
      <c r="A117" s="232"/>
      <c r="B117" s="232"/>
      <c r="K117" s="939"/>
      <c r="L117" s="938"/>
      <c r="M117" s="939"/>
      <c r="N117" s="938"/>
    </row>
    <row r="118">
      <c r="A118" s="232"/>
      <c r="B118" s="232"/>
      <c r="K118" s="939"/>
      <c r="L118" s="938"/>
      <c r="M118" s="939"/>
      <c r="N118" s="938"/>
    </row>
    <row r="119">
      <c r="A119" s="232"/>
      <c r="B119" s="232"/>
      <c r="K119" s="939"/>
      <c r="L119" s="938"/>
      <c r="M119" s="939"/>
      <c r="N119" s="938"/>
    </row>
    <row r="120">
      <c r="A120" s="232"/>
      <c r="B120" s="232"/>
      <c r="K120" s="939"/>
      <c r="L120" s="938"/>
      <c r="M120" s="939"/>
      <c r="N120" s="938"/>
    </row>
    <row r="121">
      <c r="A121" s="232"/>
      <c r="B121" s="232"/>
      <c r="K121" s="939"/>
      <c r="L121" s="938"/>
      <c r="M121" s="939"/>
      <c r="N121" s="938"/>
    </row>
    <row r="122">
      <c r="A122" s="232"/>
      <c r="B122" s="232"/>
      <c r="K122" s="939"/>
      <c r="L122" s="938"/>
      <c r="M122" s="939"/>
      <c r="N122" s="938"/>
    </row>
    <row r="123">
      <c r="A123" s="232"/>
      <c r="B123" s="232"/>
      <c r="K123" s="939"/>
      <c r="L123" s="938"/>
      <c r="M123" s="939"/>
      <c r="N123" s="938"/>
    </row>
    <row r="124">
      <c r="A124" s="232"/>
      <c r="B124" s="232"/>
      <c r="K124" s="939"/>
      <c r="L124" s="938"/>
      <c r="M124" s="939"/>
      <c r="N124" s="938"/>
    </row>
    <row r="125">
      <c r="A125" s="232"/>
      <c r="B125" s="232"/>
      <c r="K125" s="939"/>
      <c r="L125" s="938"/>
      <c r="M125" s="939"/>
      <c r="N125" s="938"/>
    </row>
    <row r="126">
      <c r="A126" s="232"/>
      <c r="B126" s="232"/>
      <c r="K126" s="939"/>
      <c r="L126" s="938"/>
      <c r="M126" s="939"/>
      <c r="N126" s="938"/>
    </row>
    <row r="127">
      <c r="A127" s="232"/>
      <c r="B127" s="232"/>
      <c r="K127" s="939"/>
      <c r="L127" s="938"/>
      <c r="M127" s="939"/>
      <c r="N127" s="938"/>
    </row>
    <row r="128">
      <c r="A128" s="232"/>
      <c r="B128" s="232"/>
      <c r="K128" s="939"/>
      <c r="L128" s="938"/>
      <c r="M128" s="939"/>
      <c r="N128" s="938"/>
    </row>
    <row r="129">
      <c r="A129" s="232"/>
      <c r="B129" s="232"/>
      <c r="K129" s="939"/>
      <c r="L129" s="938"/>
      <c r="M129" s="939"/>
      <c r="N129" s="938"/>
    </row>
    <row r="130">
      <c r="A130" s="232"/>
      <c r="B130" s="232"/>
      <c r="K130" s="939"/>
      <c r="L130" s="938"/>
      <c r="M130" s="939"/>
      <c r="N130" s="938"/>
    </row>
    <row r="131">
      <c r="A131" s="232"/>
      <c r="B131" s="232"/>
      <c r="K131" s="939"/>
      <c r="L131" s="938"/>
      <c r="M131" s="939"/>
      <c r="N131" s="938"/>
    </row>
    <row r="132">
      <c r="A132" s="232"/>
      <c r="B132" s="232"/>
      <c r="K132" s="939"/>
      <c r="L132" s="938"/>
      <c r="M132" s="939"/>
      <c r="N132" s="938"/>
    </row>
    <row r="133">
      <c r="A133" s="232"/>
      <c r="B133" s="232"/>
      <c r="K133" s="939"/>
      <c r="L133" s="938"/>
      <c r="M133" s="939"/>
      <c r="N133" s="938"/>
    </row>
    <row r="134">
      <c r="A134" s="232"/>
      <c r="B134" s="232"/>
      <c r="K134" s="939"/>
      <c r="L134" s="938"/>
      <c r="M134" s="939"/>
      <c r="N134" s="938"/>
    </row>
    <row r="135">
      <c r="A135" s="232"/>
      <c r="B135" s="232"/>
      <c r="K135" s="939"/>
      <c r="L135" s="938"/>
      <c r="M135" s="939"/>
      <c r="N135" s="938"/>
    </row>
    <row r="136">
      <c r="A136" s="232"/>
      <c r="B136" s="232"/>
      <c r="K136" s="939"/>
      <c r="L136" s="938"/>
      <c r="M136" s="939"/>
      <c r="N136" s="938"/>
    </row>
    <row r="137">
      <c r="A137" s="232"/>
      <c r="B137" s="232"/>
      <c r="K137" s="939"/>
      <c r="L137" s="938"/>
      <c r="M137" s="939"/>
      <c r="N137" s="938"/>
    </row>
    <row r="138">
      <c r="A138" s="232"/>
      <c r="B138" s="232"/>
      <c r="K138" s="939"/>
      <c r="L138" s="938"/>
      <c r="M138" s="939"/>
      <c r="N138" s="938"/>
    </row>
    <row r="139">
      <c r="A139" s="232"/>
      <c r="B139" s="232"/>
      <c r="K139" s="939"/>
      <c r="L139" s="938"/>
      <c r="M139" s="939"/>
      <c r="N139" s="938"/>
    </row>
    <row r="140">
      <c r="A140" s="232"/>
      <c r="B140" s="232"/>
      <c r="K140" s="939"/>
      <c r="L140" s="938"/>
      <c r="M140" s="939"/>
      <c r="N140" s="938"/>
    </row>
    <row r="141">
      <c r="A141" s="232"/>
      <c r="B141" s="232"/>
      <c r="K141" s="939"/>
      <c r="L141" s="938"/>
      <c r="M141" s="939"/>
      <c r="N141" s="938"/>
    </row>
    <row r="142">
      <c r="A142" s="232"/>
      <c r="B142" s="232"/>
      <c r="K142" s="939"/>
      <c r="L142" s="938"/>
      <c r="M142" s="939"/>
      <c r="N142" s="938"/>
    </row>
    <row r="143">
      <c r="A143" s="232"/>
      <c r="B143" s="232"/>
      <c r="K143" s="939"/>
      <c r="L143" s="938"/>
      <c r="M143" s="939"/>
      <c r="N143" s="938"/>
    </row>
    <row r="144">
      <c r="A144" s="232"/>
      <c r="B144" s="232"/>
      <c r="K144" s="939"/>
      <c r="L144" s="938"/>
      <c r="M144" s="939"/>
      <c r="N144" s="938"/>
    </row>
    <row r="145">
      <c r="A145" s="232"/>
      <c r="B145" s="232"/>
      <c r="K145" s="939"/>
      <c r="L145" s="938"/>
      <c r="M145" s="939"/>
      <c r="N145" s="938"/>
    </row>
    <row r="146">
      <c r="A146" s="232"/>
      <c r="B146" s="232"/>
      <c r="K146" s="939"/>
      <c r="L146" s="938"/>
      <c r="M146" s="939"/>
      <c r="N146" s="938"/>
    </row>
    <row r="147">
      <c r="A147" s="232"/>
      <c r="B147" s="232"/>
      <c r="K147" s="939"/>
      <c r="L147" s="938"/>
      <c r="M147" s="939"/>
      <c r="N147" s="938"/>
    </row>
    <row r="148">
      <c r="A148" s="232"/>
      <c r="B148" s="232"/>
      <c r="K148" s="939"/>
      <c r="L148" s="938"/>
      <c r="M148" s="939"/>
      <c r="N148" s="938"/>
    </row>
    <row r="149">
      <c r="A149" s="232"/>
      <c r="B149" s="232"/>
      <c r="K149" s="939"/>
      <c r="L149" s="938"/>
      <c r="M149" s="939"/>
      <c r="N149" s="938"/>
    </row>
    <row r="150">
      <c r="A150" s="232"/>
      <c r="B150" s="232"/>
      <c r="K150" s="939"/>
      <c r="L150" s="938"/>
      <c r="M150" s="939"/>
      <c r="N150" s="938"/>
    </row>
    <row r="151">
      <c r="A151" s="232"/>
      <c r="B151" s="232"/>
      <c r="K151" s="939"/>
      <c r="L151" s="938"/>
      <c r="M151" s="939"/>
      <c r="N151" s="938"/>
    </row>
    <row r="152">
      <c r="A152" s="232"/>
      <c r="B152" s="232"/>
      <c r="K152" s="939"/>
      <c r="L152" s="938"/>
      <c r="M152" s="939"/>
      <c r="N152" s="938"/>
    </row>
    <row r="153">
      <c r="A153" s="232"/>
      <c r="B153" s="232"/>
      <c r="K153" s="939"/>
      <c r="L153" s="938"/>
      <c r="M153" s="939"/>
      <c r="N153" s="938"/>
    </row>
    <row r="154">
      <c r="A154" s="232"/>
      <c r="B154" s="232"/>
      <c r="K154" s="939"/>
      <c r="L154" s="938"/>
      <c r="M154" s="939"/>
      <c r="N154" s="938"/>
    </row>
    <row r="155">
      <c r="A155" s="232"/>
      <c r="B155" s="232"/>
      <c r="K155" s="939"/>
      <c r="L155" s="938"/>
      <c r="M155" s="939"/>
      <c r="N155" s="938"/>
    </row>
    <row r="156">
      <c r="A156" s="232"/>
      <c r="B156" s="232"/>
      <c r="K156" s="939"/>
      <c r="L156" s="938"/>
      <c r="M156" s="939"/>
      <c r="N156" s="938"/>
    </row>
    <row r="157">
      <c r="A157" s="232"/>
      <c r="B157" s="232"/>
      <c r="K157" s="939"/>
      <c r="L157" s="938"/>
      <c r="M157" s="939"/>
      <c r="N157" s="938"/>
    </row>
    <row r="158">
      <c r="A158" s="232"/>
      <c r="B158" s="232"/>
      <c r="K158" s="939"/>
      <c r="L158" s="938"/>
      <c r="M158" s="939"/>
      <c r="N158" s="938"/>
    </row>
    <row r="159">
      <c r="A159" s="232"/>
      <c r="B159" s="232"/>
      <c r="K159" s="939"/>
      <c r="L159" s="938"/>
      <c r="M159" s="939"/>
      <c r="N159" s="938"/>
    </row>
    <row r="160">
      <c r="A160" s="232"/>
      <c r="B160" s="232"/>
      <c r="K160" s="939"/>
      <c r="L160" s="938"/>
      <c r="M160" s="939"/>
      <c r="N160" s="938"/>
    </row>
    <row r="161">
      <c r="A161" s="232"/>
      <c r="B161" s="232"/>
      <c r="K161" s="939"/>
      <c r="L161" s="938"/>
      <c r="M161" s="939"/>
      <c r="N161" s="938"/>
    </row>
    <row r="162">
      <c r="A162" s="232"/>
      <c r="B162" s="232"/>
      <c r="K162" s="939"/>
      <c r="L162" s="938"/>
      <c r="M162" s="939"/>
      <c r="N162" s="938"/>
    </row>
    <row r="163">
      <c r="A163" s="232"/>
      <c r="B163" s="232"/>
      <c r="K163" s="939"/>
      <c r="L163" s="938"/>
      <c r="M163" s="939"/>
      <c r="N163" s="938"/>
    </row>
    <row r="164">
      <c r="A164" s="232"/>
      <c r="B164" s="232"/>
      <c r="K164" s="939"/>
      <c r="L164" s="938"/>
      <c r="M164" s="939"/>
      <c r="N164" s="938"/>
    </row>
    <row r="165">
      <c r="A165" s="232"/>
      <c r="B165" s="232"/>
      <c r="K165" s="939"/>
      <c r="L165" s="938"/>
      <c r="M165" s="939"/>
      <c r="N165" s="938"/>
    </row>
    <row r="166">
      <c r="A166" s="232"/>
      <c r="B166" s="232"/>
      <c r="K166" s="939"/>
      <c r="L166" s="938"/>
      <c r="M166" s="939"/>
      <c r="N166" s="938"/>
    </row>
    <row r="167">
      <c r="A167" s="232"/>
      <c r="B167" s="232"/>
      <c r="K167" s="939"/>
      <c r="L167" s="938"/>
      <c r="M167" s="939"/>
      <c r="N167" s="938"/>
    </row>
    <row r="168">
      <c r="A168" s="232"/>
      <c r="B168" s="232"/>
      <c r="K168" s="939"/>
      <c r="L168" s="938"/>
      <c r="M168" s="939"/>
      <c r="N168" s="938"/>
    </row>
    <row r="169">
      <c r="A169" s="232"/>
      <c r="B169" s="232"/>
      <c r="K169" s="939"/>
      <c r="L169" s="938"/>
      <c r="M169" s="939"/>
      <c r="N169" s="938"/>
    </row>
    <row r="170">
      <c r="A170" s="232"/>
      <c r="B170" s="232"/>
      <c r="K170" s="939"/>
      <c r="L170" s="938"/>
      <c r="M170" s="939"/>
      <c r="N170" s="938"/>
    </row>
    <row r="171">
      <c r="A171" s="232"/>
      <c r="B171" s="232"/>
      <c r="K171" s="939"/>
      <c r="L171" s="938"/>
      <c r="M171" s="939"/>
      <c r="N171" s="938"/>
    </row>
    <row r="172">
      <c r="A172" s="232"/>
      <c r="B172" s="232"/>
      <c r="K172" s="939"/>
      <c r="L172" s="938"/>
      <c r="M172" s="939"/>
      <c r="N172" s="938"/>
    </row>
    <row r="173">
      <c r="A173" s="232"/>
      <c r="B173" s="232"/>
      <c r="K173" s="939"/>
      <c r="L173" s="938"/>
      <c r="M173" s="939"/>
      <c r="N173" s="938"/>
    </row>
    <row r="174">
      <c r="A174" s="232"/>
      <c r="B174" s="232"/>
      <c r="K174" s="939"/>
      <c r="L174" s="938"/>
      <c r="M174" s="939"/>
      <c r="N174" s="938"/>
    </row>
    <row r="175">
      <c r="A175" s="232"/>
      <c r="B175" s="232"/>
      <c r="K175" s="939"/>
      <c r="L175" s="938"/>
      <c r="M175" s="939"/>
      <c r="N175" s="938"/>
    </row>
    <row r="176">
      <c r="A176" s="232"/>
      <c r="B176" s="232"/>
      <c r="K176" s="939"/>
      <c r="L176" s="938"/>
      <c r="M176" s="939"/>
      <c r="N176" s="938"/>
    </row>
    <row r="177">
      <c r="A177" s="232"/>
      <c r="B177" s="232"/>
      <c r="K177" s="939"/>
      <c r="L177" s="938"/>
      <c r="M177" s="939"/>
      <c r="N177" s="938"/>
    </row>
    <row r="178">
      <c r="A178" s="232"/>
      <c r="B178" s="232"/>
      <c r="K178" s="939"/>
      <c r="L178" s="938"/>
      <c r="M178" s="939"/>
      <c r="N178" s="938"/>
    </row>
    <row r="179">
      <c r="A179" s="232"/>
      <c r="B179" s="232"/>
      <c r="K179" s="939"/>
      <c r="L179" s="938"/>
      <c r="M179" s="939"/>
      <c r="N179" s="938"/>
    </row>
    <row r="180">
      <c r="A180" s="232"/>
      <c r="B180" s="232"/>
      <c r="K180" s="939"/>
      <c r="L180" s="938"/>
      <c r="M180" s="939"/>
      <c r="N180" s="938"/>
    </row>
    <row r="181">
      <c r="A181" s="232"/>
      <c r="B181" s="232"/>
      <c r="K181" s="939"/>
      <c r="L181" s="938"/>
      <c r="M181" s="939"/>
      <c r="N181" s="938"/>
    </row>
    <row r="182">
      <c r="A182" s="232"/>
      <c r="B182" s="232"/>
      <c r="K182" s="939"/>
      <c r="L182" s="938"/>
      <c r="M182" s="939"/>
      <c r="N182" s="938"/>
    </row>
    <row r="183">
      <c r="A183" s="232"/>
      <c r="B183" s="232"/>
      <c r="K183" s="939"/>
      <c r="L183" s="938"/>
      <c r="M183" s="939"/>
      <c r="N183" s="938"/>
    </row>
    <row r="184">
      <c r="A184" s="232"/>
      <c r="B184" s="232"/>
      <c r="K184" s="939"/>
      <c r="L184" s="938"/>
      <c r="M184" s="939"/>
      <c r="N184" s="938"/>
    </row>
    <row r="185">
      <c r="A185" s="232"/>
      <c r="B185" s="232"/>
      <c r="K185" s="939"/>
      <c r="L185" s="938"/>
      <c r="M185" s="939"/>
      <c r="N185" s="938"/>
    </row>
    <row r="186">
      <c r="A186" s="232"/>
      <c r="B186" s="232"/>
      <c r="K186" s="939"/>
      <c r="L186" s="938"/>
      <c r="M186" s="939"/>
      <c r="N186" s="938"/>
    </row>
    <row r="187">
      <c r="A187" s="232"/>
      <c r="B187" s="232"/>
      <c r="K187" s="939"/>
      <c r="L187" s="938"/>
      <c r="M187" s="939"/>
      <c r="N187" s="938"/>
    </row>
    <row r="188">
      <c r="A188" s="232"/>
      <c r="B188" s="232"/>
      <c r="K188" s="939"/>
      <c r="L188" s="938"/>
      <c r="M188" s="939"/>
      <c r="N188" s="938"/>
    </row>
    <row r="189">
      <c r="A189" s="232"/>
      <c r="B189" s="232"/>
      <c r="K189" s="939"/>
      <c r="L189" s="938"/>
      <c r="M189" s="939"/>
      <c r="N189" s="938"/>
    </row>
    <row r="190">
      <c r="A190" s="232"/>
      <c r="B190" s="232"/>
      <c r="K190" s="939"/>
      <c r="L190" s="938"/>
      <c r="M190" s="939"/>
      <c r="N190" s="938"/>
    </row>
    <row r="191">
      <c r="A191" s="232"/>
      <c r="B191" s="232"/>
      <c r="K191" s="939"/>
      <c r="L191" s="938"/>
      <c r="M191" s="939"/>
      <c r="N191" s="938"/>
    </row>
    <row r="192">
      <c r="A192" s="232"/>
      <c r="B192" s="232"/>
      <c r="K192" s="939"/>
      <c r="L192" s="938"/>
      <c r="M192" s="939"/>
      <c r="N192" s="938"/>
    </row>
    <row r="193">
      <c r="A193" s="232"/>
      <c r="B193" s="232"/>
      <c r="K193" s="939"/>
      <c r="L193" s="938"/>
      <c r="M193" s="939"/>
      <c r="N193" s="938"/>
    </row>
    <row r="194">
      <c r="A194" s="232"/>
      <c r="B194" s="232"/>
      <c r="K194" s="939"/>
      <c r="L194" s="938"/>
      <c r="M194" s="939"/>
      <c r="N194" s="938"/>
    </row>
    <row r="195">
      <c r="A195" s="232"/>
      <c r="B195" s="232"/>
      <c r="K195" s="939"/>
      <c r="L195" s="938"/>
      <c r="M195" s="939"/>
      <c r="N195" s="938"/>
    </row>
    <row r="196">
      <c r="A196" s="232"/>
      <c r="B196" s="232"/>
      <c r="K196" s="939"/>
      <c r="L196" s="938"/>
      <c r="M196" s="939"/>
      <c r="N196" s="938"/>
    </row>
    <row r="197">
      <c r="A197" s="232"/>
      <c r="B197" s="232"/>
      <c r="K197" s="939"/>
      <c r="L197" s="938"/>
      <c r="M197" s="939"/>
      <c r="N197" s="938"/>
    </row>
    <row r="198">
      <c r="A198" s="232"/>
      <c r="B198" s="232"/>
      <c r="K198" s="939"/>
      <c r="L198" s="938"/>
      <c r="M198" s="939"/>
      <c r="N198" s="938"/>
    </row>
    <row r="199">
      <c r="A199" s="232"/>
      <c r="B199" s="232"/>
      <c r="K199" s="939"/>
      <c r="L199" s="938"/>
      <c r="M199" s="939"/>
      <c r="N199" s="938"/>
    </row>
    <row r="200">
      <c r="A200" s="232"/>
      <c r="B200" s="232"/>
      <c r="K200" s="939"/>
      <c r="L200" s="938"/>
      <c r="M200" s="939"/>
      <c r="N200" s="938"/>
    </row>
    <row r="201">
      <c r="A201" s="232"/>
      <c r="B201" s="232"/>
      <c r="K201" s="939"/>
      <c r="L201" s="938"/>
      <c r="M201" s="939"/>
      <c r="N201" s="938"/>
    </row>
    <row r="202">
      <c r="A202" s="232"/>
      <c r="B202" s="232"/>
      <c r="K202" s="939"/>
      <c r="L202" s="938"/>
      <c r="M202" s="939"/>
      <c r="N202" s="938"/>
    </row>
    <row r="203">
      <c r="A203" s="232"/>
      <c r="B203" s="232"/>
      <c r="K203" s="939"/>
      <c r="L203" s="938"/>
      <c r="M203" s="939"/>
      <c r="N203" s="938"/>
    </row>
    <row r="204">
      <c r="A204" s="232"/>
      <c r="B204" s="232"/>
      <c r="K204" s="939"/>
      <c r="L204" s="938"/>
      <c r="M204" s="939"/>
      <c r="N204" s="938"/>
    </row>
    <row r="205">
      <c r="A205" s="232"/>
      <c r="B205" s="232"/>
      <c r="K205" s="939"/>
      <c r="L205" s="938"/>
      <c r="M205" s="939"/>
      <c r="N205" s="938"/>
    </row>
    <row r="206">
      <c r="A206" s="232"/>
      <c r="B206" s="232"/>
      <c r="K206" s="939"/>
      <c r="L206" s="938"/>
      <c r="M206" s="939"/>
      <c r="N206" s="938"/>
    </row>
    <row r="207">
      <c r="A207" s="232"/>
      <c r="B207" s="232"/>
      <c r="K207" s="939"/>
      <c r="L207" s="938"/>
      <c r="M207" s="939"/>
      <c r="N207" s="938"/>
    </row>
    <row r="208">
      <c r="A208" s="232"/>
      <c r="B208" s="232"/>
      <c r="K208" s="939"/>
      <c r="L208" s="938"/>
      <c r="M208" s="939"/>
      <c r="N208" s="938"/>
    </row>
    <row r="209">
      <c r="A209" s="232"/>
      <c r="B209" s="232"/>
      <c r="K209" s="939"/>
      <c r="L209" s="938"/>
      <c r="M209" s="939"/>
      <c r="N209" s="938"/>
    </row>
    <row r="210">
      <c r="A210" s="232"/>
      <c r="B210" s="232"/>
      <c r="K210" s="939"/>
      <c r="L210" s="938"/>
      <c r="M210" s="939"/>
      <c r="N210" s="938"/>
    </row>
    <row r="211">
      <c r="A211" s="232"/>
      <c r="B211" s="232"/>
      <c r="K211" s="939"/>
      <c r="L211" s="938"/>
      <c r="M211" s="939"/>
      <c r="N211" s="938"/>
    </row>
    <row r="212">
      <c r="A212" s="232"/>
      <c r="B212" s="232"/>
      <c r="K212" s="939"/>
      <c r="L212" s="938"/>
      <c r="M212" s="939"/>
      <c r="N212" s="938"/>
    </row>
    <row r="213">
      <c r="A213" s="232"/>
      <c r="B213" s="232"/>
      <c r="K213" s="939"/>
      <c r="L213" s="938"/>
      <c r="M213" s="939"/>
      <c r="N213" s="938"/>
    </row>
    <row r="214">
      <c r="A214" s="232"/>
      <c r="B214" s="232"/>
      <c r="K214" s="939"/>
      <c r="L214" s="938"/>
      <c r="M214" s="939"/>
      <c r="N214" s="938"/>
    </row>
    <row r="215">
      <c r="A215" s="232"/>
      <c r="B215" s="232"/>
      <c r="K215" s="939"/>
      <c r="L215" s="938"/>
      <c r="M215" s="939"/>
      <c r="N215" s="938"/>
    </row>
    <row r="216">
      <c r="A216" s="232"/>
      <c r="B216" s="232"/>
      <c r="K216" s="939"/>
      <c r="L216" s="938"/>
      <c r="M216" s="939"/>
      <c r="N216" s="938"/>
    </row>
    <row r="217">
      <c r="A217" s="232"/>
      <c r="B217" s="232"/>
      <c r="K217" s="939"/>
      <c r="L217" s="938"/>
      <c r="M217" s="939"/>
      <c r="N217" s="938"/>
    </row>
    <row r="218">
      <c r="A218" s="232"/>
      <c r="B218" s="232"/>
      <c r="K218" s="939"/>
      <c r="L218" s="938"/>
      <c r="M218" s="939"/>
      <c r="N218" s="938"/>
    </row>
    <row r="219">
      <c r="A219" s="232"/>
      <c r="B219" s="232"/>
      <c r="K219" s="939"/>
      <c r="L219" s="938"/>
      <c r="M219" s="939"/>
      <c r="N219" s="938"/>
    </row>
    <row r="220">
      <c r="A220" s="232"/>
      <c r="B220" s="232"/>
      <c r="K220" s="939"/>
      <c r="L220" s="938"/>
      <c r="M220" s="939"/>
      <c r="N220" s="938"/>
    </row>
    <row r="221">
      <c r="A221" s="232"/>
      <c r="B221" s="232"/>
      <c r="K221" s="939"/>
      <c r="L221" s="938"/>
      <c r="M221" s="939"/>
      <c r="N221" s="938"/>
    </row>
    <row r="222">
      <c r="A222" s="232"/>
      <c r="B222" s="232"/>
      <c r="K222" s="939"/>
      <c r="L222" s="938"/>
      <c r="M222" s="939"/>
      <c r="N222" s="938"/>
    </row>
    <row r="223">
      <c r="A223" s="232"/>
      <c r="B223" s="232"/>
      <c r="K223" s="939"/>
      <c r="L223" s="938"/>
      <c r="M223" s="939"/>
      <c r="N223" s="938"/>
    </row>
    <row r="224">
      <c r="A224" s="232"/>
      <c r="B224" s="232"/>
      <c r="K224" s="939"/>
      <c r="L224" s="938"/>
      <c r="M224" s="939"/>
      <c r="N224" s="938"/>
    </row>
    <row r="225">
      <c r="A225" s="232"/>
      <c r="B225" s="232"/>
      <c r="K225" s="939"/>
      <c r="L225" s="938"/>
      <c r="M225" s="939"/>
      <c r="N225" s="938"/>
    </row>
    <row r="226">
      <c r="A226" s="232"/>
      <c r="B226" s="232"/>
      <c r="K226" s="939"/>
      <c r="L226" s="938"/>
      <c r="M226" s="939"/>
      <c r="N226" s="938"/>
    </row>
    <row r="227">
      <c r="A227" s="232"/>
      <c r="B227" s="232"/>
      <c r="K227" s="939"/>
      <c r="L227" s="938"/>
      <c r="M227" s="939"/>
      <c r="N227" s="938"/>
    </row>
    <row r="228">
      <c r="A228" s="232"/>
      <c r="B228" s="232"/>
      <c r="K228" s="939"/>
      <c r="L228" s="938"/>
      <c r="M228" s="939"/>
      <c r="N228" s="938"/>
    </row>
    <row r="229">
      <c r="A229" s="232"/>
      <c r="B229" s="232"/>
      <c r="K229" s="939"/>
      <c r="L229" s="938"/>
      <c r="M229" s="939"/>
      <c r="N229" s="938"/>
    </row>
    <row r="230">
      <c r="A230" s="232"/>
      <c r="B230" s="232"/>
      <c r="K230" s="939"/>
      <c r="L230" s="938"/>
      <c r="M230" s="939"/>
      <c r="N230" s="938"/>
    </row>
    <row r="231">
      <c r="A231" s="232"/>
      <c r="B231" s="232"/>
      <c r="K231" s="939"/>
      <c r="L231" s="938"/>
      <c r="M231" s="939"/>
      <c r="N231" s="938"/>
    </row>
    <row r="232">
      <c r="A232" s="232"/>
      <c r="B232" s="232"/>
      <c r="K232" s="939"/>
      <c r="L232" s="938"/>
      <c r="M232" s="939"/>
      <c r="N232" s="938"/>
    </row>
    <row r="233">
      <c r="A233" s="232"/>
      <c r="B233" s="232"/>
      <c r="K233" s="939"/>
      <c r="L233" s="938"/>
      <c r="M233" s="939"/>
      <c r="N233" s="938"/>
    </row>
    <row r="234">
      <c r="A234" s="232"/>
      <c r="B234" s="232"/>
      <c r="K234" s="939"/>
      <c r="L234" s="938"/>
      <c r="M234" s="939"/>
      <c r="N234" s="938"/>
    </row>
    <row r="235">
      <c r="A235" s="232"/>
      <c r="B235" s="232"/>
      <c r="K235" s="939"/>
      <c r="L235" s="938"/>
      <c r="M235" s="939"/>
      <c r="N235" s="938"/>
    </row>
    <row r="236">
      <c r="A236" s="232"/>
      <c r="B236" s="232"/>
      <c r="K236" s="939"/>
      <c r="L236" s="938"/>
      <c r="M236" s="939"/>
      <c r="N236" s="938"/>
    </row>
    <row r="237">
      <c r="A237" s="232"/>
      <c r="B237" s="232"/>
      <c r="K237" s="939"/>
      <c r="L237" s="938"/>
      <c r="M237" s="939"/>
      <c r="N237" s="938"/>
    </row>
    <row r="238">
      <c r="A238" s="232"/>
      <c r="B238" s="232"/>
      <c r="K238" s="939"/>
      <c r="L238" s="938"/>
      <c r="M238" s="939"/>
      <c r="N238" s="938"/>
    </row>
    <row r="239">
      <c r="A239" s="232"/>
      <c r="B239" s="232"/>
      <c r="K239" s="939"/>
      <c r="L239" s="938"/>
      <c r="M239" s="939"/>
      <c r="N239" s="938"/>
    </row>
    <row r="240">
      <c r="A240" s="232"/>
      <c r="B240" s="232"/>
      <c r="K240" s="939"/>
      <c r="L240" s="938"/>
      <c r="M240" s="939"/>
      <c r="N240" s="938"/>
    </row>
    <row r="241">
      <c r="A241" s="232"/>
      <c r="B241" s="232"/>
      <c r="K241" s="939"/>
      <c r="L241" s="938"/>
      <c r="M241" s="939"/>
      <c r="N241" s="938"/>
    </row>
    <row r="242">
      <c r="A242" s="232"/>
      <c r="B242" s="232"/>
      <c r="K242" s="939"/>
      <c r="L242" s="938"/>
      <c r="M242" s="939"/>
      <c r="N242" s="938"/>
    </row>
    <row r="243">
      <c r="A243" s="232"/>
      <c r="B243" s="232"/>
      <c r="K243" s="939"/>
      <c r="L243" s="938"/>
      <c r="M243" s="939"/>
      <c r="N243" s="938"/>
    </row>
    <row r="244">
      <c r="A244" s="232"/>
      <c r="B244" s="232"/>
      <c r="K244" s="939"/>
      <c r="L244" s="938"/>
      <c r="M244" s="939"/>
      <c r="N244" s="938"/>
    </row>
    <row r="245">
      <c r="A245" s="232"/>
      <c r="B245" s="232"/>
      <c r="K245" s="939"/>
      <c r="L245" s="938"/>
      <c r="M245" s="939"/>
      <c r="N245" s="938"/>
    </row>
    <row r="246">
      <c r="A246" s="232"/>
      <c r="B246" s="232"/>
      <c r="K246" s="939"/>
      <c r="L246" s="938"/>
      <c r="M246" s="939"/>
      <c r="N246" s="938"/>
    </row>
    <row r="247">
      <c r="A247" s="232"/>
      <c r="B247" s="232"/>
      <c r="K247" s="939"/>
      <c r="L247" s="938"/>
      <c r="M247" s="939"/>
      <c r="N247" s="938"/>
    </row>
    <row r="248">
      <c r="A248" s="232"/>
      <c r="B248" s="232"/>
      <c r="K248" s="939"/>
      <c r="L248" s="938"/>
      <c r="M248" s="939"/>
      <c r="N248" s="938"/>
    </row>
    <row r="249">
      <c r="A249" s="232"/>
      <c r="B249" s="232"/>
      <c r="K249" s="939"/>
      <c r="L249" s="938"/>
      <c r="M249" s="939"/>
      <c r="N249" s="938"/>
    </row>
    <row r="250">
      <c r="A250" s="232"/>
      <c r="B250" s="232"/>
      <c r="K250" s="939"/>
      <c r="L250" s="938"/>
      <c r="M250" s="939"/>
      <c r="N250" s="938"/>
    </row>
    <row r="251">
      <c r="A251" s="232"/>
      <c r="B251" s="232"/>
      <c r="K251" s="939"/>
      <c r="L251" s="938"/>
      <c r="M251" s="939"/>
      <c r="N251" s="938"/>
    </row>
    <row r="252">
      <c r="A252" s="232"/>
      <c r="B252" s="232"/>
      <c r="K252" s="939"/>
      <c r="L252" s="938"/>
      <c r="M252" s="939"/>
      <c r="N252" s="938"/>
    </row>
    <row r="253">
      <c r="A253" s="232"/>
      <c r="B253" s="232"/>
      <c r="K253" s="939"/>
      <c r="L253" s="938"/>
      <c r="M253" s="939"/>
      <c r="N253" s="938"/>
    </row>
    <row r="254">
      <c r="A254" s="232"/>
      <c r="B254" s="232"/>
      <c r="K254" s="939"/>
      <c r="L254" s="938"/>
      <c r="M254" s="939"/>
      <c r="N254" s="938"/>
    </row>
    <row r="255">
      <c r="A255" s="232"/>
      <c r="B255" s="232"/>
      <c r="K255" s="939"/>
      <c r="L255" s="938"/>
      <c r="M255" s="939"/>
      <c r="N255" s="938"/>
    </row>
    <row r="256">
      <c r="A256" s="232"/>
      <c r="B256" s="232"/>
      <c r="K256" s="939"/>
      <c r="L256" s="938"/>
      <c r="M256" s="939"/>
      <c r="N256" s="938"/>
    </row>
    <row r="257">
      <c r="A257" s="232"/>
      <c r="B257" s="232"/>
      <c r="K257" s="939"/>
      <c r="L257" s="938"/>
      <c r="M257" s="939"/>
      <c r="N257" s="938"/>
    </row>
    <row r="258">
      <c r="A258" s="232"/>
      <c r="B258" s="232"/>
      <c r="K258" s="939"/>
      <c r="L258" s="938"/>
      <c r="M258" s="939"/>
      <c r="N258" s="938"/>
    </row>
    <row r="259">
      <c r="A259" s="232"/>
      <c r="B259" s="232"/>
      <c r="K259" s="939"/>
      <c r="L259" s="938"/>
      <c r="M259" s="939"/>
      <c r="N259" s="938"/>
    </row>
    <row r="260">
      <c r="A260" s="232"/>
      <c r="B260" s="232"/>
      <c r="K260" s="939"/>
      <c r="L260" s="938"/>
      <c r="M260" s="939"/>
      <c r="N260" s="938"/>
    </row>
    <row r="261">
      <c r="A261" s="232"/>
      <c r="B261" s="232"/>
      <c r="K261" s="939"/>
      <c r="L261" s="938"/>
      <c r="M261" s="939"/>
      <c r="N261" s="938"/>
    </row>
    <row r="262">
      <c r="A262" s="232"/>
      <c r="B262" s="232"/>
      <c r="K262" s="939"/>
      <c r="L262" s="938"/>
      <c r="M262" s="939"/>
      <c r="N262" s="938"/>
    </row>
    <row r="263">
      <c r="A263" s="232"/>
      <c r="B263" s="232"/>
      <c r="K263" s="939"/>
      <c r="L263" s="938"/>
      <c r="M263" s="939"/>
      <c r="N263" s="938"/>
    </row>
    <row r="264">
      <c r="A264" s="232"/>
      <c r="B264" s="232"/>
      <c r="K264" s="939"/>
      <c r="L264" s="938"/>
      <c r="M264" s="939"/>
      <c r="N264" s="938"/>
    </row>
    <row r="265">
      <c r="A265" s="232"/>
      <c r="B265" s="232"/>
      <c r="K265" s="939"/>
      <c r="L265" s="938"/>
      <c r="M265" s="939"/>
      <c r="N265" s="938"/>
    </row>
    <row r="266">
      <c r="A266" s="232"/>
      <c r="B266" s="232"/>
      <c r="K266" s="939"/>
      <c r="L266" s="938"/>
      <c r="M266" s="939"/>
      <c r="N266" s="938"/>
    </row>
    <row r="267">
      <c r="A267" s="232"/>
      <c r="B267" s="232"/>
      <c r="K267" s="939"/>
      <c r="L267" s="938"/>
      <c r="M267" s="939"/>
      <c r="N267" s="938"/>
    </row>
    <row r="268">
      <c r="A268" s="232"/>
      <c r="B268" s="232"/>
      <c r="K268" s="939"/>
      <c r="L268" s="938"/>
      <c r="M268" s="939"/>
      <c r="N268" s="938"/>
    </row>
    <row r="269">
      <c r="A269" s="232"/>
      <c r="B269" s="232"/>
      <c r="K269" s="939"/>
      <c r="L269" s="938"/>
      <c r="M269" s="939"/>
      <c r="N269" s="938"/>
    </row>
    <row r="270">
      <c r="A270" s="232"/>
      <c r="B270" s="232"/>
      <c r="K270" s="939"/>
      <c r="L270" s="938"/>
      <c r="M270" s="939"/>
      <c r="N270" s="938"/>
    </row>
    <row r="271">
      <c r="A271" s="232"/>
      <c r="B271" s="232"/>
      <c r="K271" s="939"/>
      <c r="L271" s="938"/>
      <c r="M271" s="939"/>
      <c r="N271" s="938"/>
    </row>
    <row r="272">
      <c r="A272" s="232"/>
      <c r="B272" s="232"/>
      <c r="K272" s="939"/>
      <c r="L272" s="938"/>
      <c r="M272" s="939"/>
      <c r="N272" s="938"/>
    </row>
    <row r="273">
      <c r="A273" s="232"/>
      <c r="B273" s="232"/>
      <c r="K273" s="939"/>
      <c r="L273" s="938"/>
      <c r="M273" s="939"/>
      <c r="N273" s="938"/>
    </row>
    <row r="274">
      <c r="A274" s="232"/>
      <c r="B274" s="232"/>
      <c r="K274" s="939"/>
      <c r="L274" s="938"/>
      <c r="M274" s="939"/>
      <c r="N274" s="938"/>
    </row>
    <row r="275">
      <c r="A275" s="232"/>
      <c r="B275" s="232"/>
      <c r="K275" s="939"/>
      <c r="L275" s="938"/>
      <c r="M275" s="939"/>
      <c r="N275" s="938"/>
    </row>
    <row r="276">
      <c r="A276" s="232"/>
      <c r="B276" s="232"/>
      <c r="K276" s="939"/>
      <c r="L276" s="938"/>
      <c r="M276" s="939"/>
      <c r="N276" s="938"/>
    </row>
    <row r="277">
      <c r="A277" s="232"/>
      <c r="B277" s="232"/>
      <c r="K277" s="939"/>
      <c r="L277" s="938"/>
      <c r="M277" s="939"/>
      <c r="N277" s="938"/>
    </row>
    <row r="278">
      <c r="A278" s="232"/>
      <c r="B278" s="232"/>
      <c r="K278" s="939"/>
      <c r="L278" s="938"/>
      <c r="M278" s="939"/>
      <c r="N278" s="938"/>
    </row>
    <row r="279">
      <c r="A279" s="232"/>
      <c r="B279" s="232"/>
      <c r="K279" s="939"/>
      <c r="L279" s="938"/>
      <c r="M279" s="939"/>
      <c r="N279" s="938"/>
    </row>
    <row r="280">
      <c r="A280" s="232"/>
      <c r="B280" s="232"/>
      <c r="K280" s="939"/>
      <c r="L280" s="938"/>
      <c r="M280" s="939"/>
      <c r="N280" s="938"/>
    </row>
    <row r="281">
      <c r="A281" s="232"/>
      <c r="B281" s="232"/>
      <c r="K281" s="939"/>
      <c r="L281" s="938"/>
      <c r="M281" s="939"/>
      <c r="N281" s="938"/>
    </row>
    <row r="282">
      <c r="A282" s="232"/>
      <c r="B282" s="232"/>
      <c r="K282" s="939"/>
      <c r="L282" s="938"/>
      <c r="M282" s="939"/>
      <c r="N282" s="938"/>
    </row>
    <row r="283">
      <c r="A283" s="232"/>
      <c r="B283" s="232"/>
      <c r="K283" s="939"/>
      <c r="L283" s="938"/>
      <c r="M283" s="939"/>
      <c r="N283" s="938"/>
    </row>
    <row r="284">
      <c r="A284" s="232"/>
      <c r="B284" s="232"/>
      <c r="K284" s="939"/>
      <c r="L284" s="938"/>
      <c r="M284" s="939"/>
      <c r="N284" s="938"/>
    </row>
    <row r="285">
      <c r="A285" s="232"/>
      <c r="B285" s="232"/>
      <c r="K285" s="939"/>
      <c r="L285" s="938"/>
      <c r="M285" s="939"/>
      <c r="N285" s="938"/>
    </row>
    <row r="286">
      <c r="A286" s="232"/>
      <c r="B286" s="232"/>
      <c r="K286" s="939"/>
      <c r="L286" s="938"/>
      <c r="M286" s="939"/>
      <c r="N286" s="938"/>
    </row>
    <row r="287">
      <c r="A287" s="232"/>
      <c r="B287" s="232"/>
      <c r="K287" s="939"/>
      <c r="L287" s="938"/>
      <c r="M287" s="939"/>
      <c r="N287" s="938"/>
    </row>
    <row r="288">
      <c r="A288" s="232"/>
      <c r="B288" s="232"/>
      <c r="K288" s="939"/>
      <c r="L288" s="938"/>
      <c r="M288" s="939"/>
      <c r="N288" s="938"/>
    </row>
    <row r="289">
      <c r="A289" s="232"/>
      <c r="B289" s="232"/>
      <c r="K289" s="939"/>
      <c r="L289" s="938"/>
      <c r="M289" s="939"/>
      <c r="N289" s="938"/>
    </row>
    <row r="290">
      <c r="A290" s="232"/>
      <c r="B290" s="232"/>
      <c r="K290" s="939"/>
      <c r="L290" s="938"/>
      <c r="M290" s="939"/>
      <c r="N290" s="938"/>
    </row>
    <row r="291">
      <c r="A291" s="232"/>
      <c r="B291" s="232"/>
      <c r="K291" s="939"/>
      <c r="L291" s="938"/>
      <c r="M291" s="939"/>
      <c r="N291" s="938"/>
    </row>
    <row r="292">
      <c r="A292" s="232"/>
      <c r="B292" s="232"/>
      <c r="K292" s="939"/>
      <c r="L292" s="938"/>
      <c r="M292" s="939"/>
      <c r="N292" s="938"/>
    </row>
    <row r="293">
      <c r="A293" s="232"/>
      <c r="B293" s="232"/>
      <c r="K293" s="939"/>
      <c r="L293" s="938"/>
      <c r="M293" s="939"/>
      <c r="N293" s="938"/>
    </row>
    <row r="294">
      <c r="A294" s="232"/>
      <c r="B294" s="232"/>
      <c r="K294" s="939"/>
      <c r="L294" s="938"/>
      <c r="M294" s="939"/>
      <c r="N294" s="938"/>
    </row>
    <row r="295">
      <c r="A295" s="232"/>
      <c r="B295" s="232"/>
      <c r="K295" s="939"/>
      <c r="L295" s="938"/>
      <c r="M295" s="939"/>
      <c r="N295" s="938"/>
    </row>
    <row r="296">
      <c r="A296" s="232"/>
      <c r="B296" s="232"/>
      <c r="K296" s="939"/>
      <c r="L296" s="938"/>
      <c r="M296" s="939"/>
      <c r="N296" s="938"/>
    </row>
    <row r="297">
      <c r="A297" s="232"/>
      <c r="B297" s="232"/>
      <c r="K297" s="939"/>
      <c r="L297" s="938"/>
      <c r="M297" s="939"/>
      <c r="N297" s="938"/>
    </row>
    <row r="298">
      <c r="A298" s="232"/>
      <c r="B298" s="232"/>
      <c r="K298" s="939"/>
      <c r="L298" s="938"/>
      <c r="M298" s="939"/>
      <c r="N298" s="938"/>
    </row>
    <row r="299">
      <c r="A299" s="232"/>
      <c r="B299" s="232"/>
      <c r="K299" s="939"/>
      <c r="L299" s="938"/>
      <c r="M299" s="939"/>
      <c r="N299" s="938"/>
    </row>
    <row r="300">
      <c r="A300" s="232"/>
      <c r="B300" s="232"/>
      <c r="K300" s="939"/>
      <c r="L300" s="938"/>
      <c r="M300" s="939"/>
      <c r="N300" s="938"/>
    </row>
    <row r="301">
      <c r="A301" s="232"/>
      <c r="B301" s="232"/>
      <c r="K301" s="939"/>
      <c r="L301" s="938"/>
      <c r="M301" s="939"/>
      <c r="N301" s="938"/>
    </row>
    <row r="302">
      <c r="A302" s="232"/>
      <c r="B302" s="232"/>
      <c r="K302" s="939"/>
      <c r="L302" s="938"/>
      <c r="M302" s="939"/>
      <c r="N302" s="938"/>
    </row>
    <row r="303">
      <c r="A303" s="232"/>
      <c r="B303" s="232"/>
      <c r="K303" s="939"/>
      <c r="L303" s="938"/>
      <c r="M303" s="939"/>
      <c r="N303" s="938"/>
    </row>
    <row r="304">
      <c r="A304" s="232"/>
      <c r="B304" s="232"/>
      <c r="K304" s="939"/>
      <c r="L304" s="938"/>
      <c r="M304" s="939"/>
      <c r="N304" s="938"/>
    </row>
    <row r="305">
      <c r="A305" s="232"/>
      <c r="B305" s="232"/>
      <c r="K305" s="939"/>
      <c r="L305" s="938"/>
      <c r="M305" s="939"/>
      <c r="N305" s="938"/>
    </row>
    <row r="306">
      <c r="A306" s="232"/>
      <c r="B306" s="232"/>
      <c r="K306" s="939"/>
      <c r="L306" s="938"/>
      <c r="M306" s="939"/>
      <c r="N306" s="938"/>
    </row>
    <row r="307">
      <c r="A307" s="232"/>
      <c r="B307" s="232"/>
      <c r="K307" s="939"/>
      <c r="L307" s="938"/>
      <c r="M307" s="939"/>
      <c r="N307" s="938"/>
    </row>
    <row r="308">
      <c r="A308" s="232"/>
      <c r="B308" s="232"/>
      <c r="K308" s="939"/>
      <c r="L308" s="938"/>
      <c r="M308" s="939"/>
      <c r="N308" s="938"/>
    </row>
    <row r="309">
      <c r="A309" s="232"/>
      <c r="B309" s="232"/>
      <c r="K309" s="939"/>
      <c r="L309" s="938"/>
      <c r="M309" s="939"/>
      <c r="N309" s="938"/>
    </row>
    <row r="310">
      <c r="A310" s="232"/>
      <c r="B310" s="232"/>
      <c r="K310" s="939"/>
      <c r="L310" s="938"/>
      <c r="M310" s="939"/>
      <c r="N310" s="938"/>
    </row>
    <row r="311">
      <c r="A311" s="232"/>
      <c r="B311" s="232"/>
      <c r="K311" s="939"/>
      <c r="L311" s="938"/>
      <c r="M311" s="939"/>
      <c r="N311" s="938"/>
    </row>
    <row r="312">
      <c r="A312" s="232"/>
      <c r="B312" s="232"/>
      <c r="K312" s="939"/>
      <c r="L312" s="938"/>
      <c r="M312" s="939"/>
      <c r="N312" s="938"/>
    </row>
    <row r="313">
      <c r="A313" s="232"/>
      <c r="B313" s="232"/>
      <c r="K313" s="939"/>
      <c r="L313" s="938"/>
      <c r="M313" s="939"/>
      <c r="N313" s="938"/>
    </row>
    <row r="314">
      <c r="A314" s="232"/>
      <c r="B314" s="232"/>
      <c r="K314" s="939"/>
      <c r="L314" s="938"/>
      <c r="M314" s="939"/>
      <c r="N314" s="938"/>
    </row>
    <row r="315">
      <c r="A315" s="232"/>
      <c r="B315" s="232"/>
      <c r="K315" s="939"/>
      <c r="L315" s="938"/>
      <c r="M315" s="939"/>
      <c r="N315" s="938"/>
    </row>
    <row r="316">
      <c r="A316" s="232"/>
      <c r="B316" s="232"/>
      <c r="K316" s="939"/>
      <c r="L316" s="938"/>
      <c r="M316" s="939"/>
      <c r="N316" s="938"/>
    </row>
    <row r="317">
      <c r="A317" s="232"/>
      <c r="B317" s="232"/>
      <c r="K317" s="939"/>
      <c r="L317" s="938"/>
      <c r="M317" s="939"/>
      <c r="N317" s="938"/>
    </row>
    <row r="318">
      <c r="A318" s="232"/>
      <c r="B318" s="232"/>
      <c r="K318" s="939"/>
      <c r="L318" s="938"/>
      <c r="M318" s="939"/>
      <c r="N318" s="938"/>
    </row>
    <row r="319">
      <c r="A319" s="232"/>
      <c r="B319" s="232"/>
      <c r="K319" s="939"/>
      <c r="L319" s="938"/>
      <c r="M319" s="939"/>
      <c r="N319" s="938"/>
    </row>
    <row r="320">
      <c r="A320" s="232"/>
      <c r="B320" s="232"/>
      <c r="K320" s="939"/>
      <c r="L320" s="938"/>
      <c r="M320" s="939"/>
      <c r="N320" s="938"/>
    </row>
    <row r="321">
      <c r="A321" s="232"/>
      <c r="B321" s="232"/>
      <c r="K321" s="939"/>
      <c r="L321" s="938"/>
      <c r="M321" s="939"/>
      <c r="N321" s="938"/>
    </row>
    <row r="322">
      <c r="A322" s="232"/>
      <c r="B322" s="232"/>
      <c r="K322" s="939"/>
      <c r="L322" s="938"/>
      <c r="M322" s="939"/>
      <c r="N322" s="938"/>
    </row>
    <row r="323">
      <c r="A323" s="232"/>
      <c r="B323" s="232"/>
      <c r="K323" s="939"/>
      <c r="L323" s="938"/>
      <c r="M323" s="939"/>
      <c r="N323" s="938"/>
    </row>
    <row r="324">
      <c r="A324" s="232"/>
      <c r="B324" s="232"/>
      <c r="K324" s="939"/>
      <c r="L324" s="938"/>
      <c r="M324" s="939"/>
      <c r="N324" s="938"/>
    </row>
    <row r="325">
      <c r="A325" s="232"/>
      <c r="B325" s="232"/>
      <c r="K325" s="939"/>
      <c r="L325" s="938"/>
      <c r="M325" s="939"/>
      <c r="N325" s="938"/>
    </row>
    <row r="326">
      <c r="A326" s="232"/>
      <c r="B326" s="232"/>
      <c r="K326" s="939"/>
      <c r="L326" s="938"/>
      <c r="M326" s="939"/>
      <c r="N326" s="938"/>
    </row>
    <row r="327">
      <c r="A327" s="232"/>
      <c r="B327" s="232"/>
      <c r="K327" s="939"/>
      <c r="L327" s="938"/>
      <c r="M327" s="939"/>
      <c r="N327" s="938"/>
    </row>
    <row r="328">
      <c r="A328" s="232"/>
      <c r="B328" s="232"/>
      <c r="K328" s="939"/>
      <c r="L328" s="938"/>
      <c r="M328" s="939"/>
      <c r="N328" s="938"/>
    </row>
    <row r="329">
      <c r="A329" s="232"/>
      <c r="B329" s="232"/>
      <c r="K329" s="939"/>
      <c r="L329" s="938"/>
      <c r="M329" s="939"/>
      <c r="N329" s="938"/>
    </row>
    <row r="330">
      <c r="A330" s="232"/>
      <c r="B330" s="232"/>
      <c r="K330" s="939"/>
      <c r="L330" s="938"/>
      <c r="M330" s="939"/>
      <c r="N330" s="938"/>
    </row>
    <row r="331">
      <c r="A331" s="232"/>
      <c r="B331" s="232"/>
      <c r="K331" s="939"/>
      <c r="L331" s="938"/>
      <c r="M331" s="939"/>
      <c r="N331" s="938"/>
    </row>
    <row r="332">
      <c r="A332" s="232"/>
      <c r="B332" s="232"/>
      <c r="K332" s="939"/>
      <c r="L332" s="938"/>
      <c r="M332" s="939"/>
      <c r="N332" s="938"/>
    </row>
    <row r="333">
      <c r="A333" s="232"/>
      <c r="B333" s="232"/>
      <c r="K333" s="939"/>
      <c r="L333" s="938"/>
      <c r="M333" s="939"/>
      <c r="N333" s="938"/>
    </row>
    <row r="334">
      <c r="A334" s="232"/>
      <c r="B334" s="232"/>
      <c r="K334" s="939"/>
      <c r="L334" s="938"/>
      <c r="M334" s="939"/>
      <c r="N334" s="938"/>
    </row>
    <row r="335">
      <c r="A335" s="232"/>
      <c r="B335" s="232"/>
      <c r="K335" s="939"/>
      <c r="L335" s="938"/>
      <c r="M335" s="939"/>
      <c r="N335" s="938"/>
    </row>
    <row r="336">
      <c r="A336" s="232"/>
      <c r="B336" s="232"/>
      <c r="K336" s="939"/>
      <c r="L336" s="938"/>
      <c r="M336" s="939"/>
      <c r="N336" s="938"/>
    </row>
    <row r="337">
      <c r="A337" s="232"/>
      <c r="B337" s="232"/>
      <c r="K337" s="939"/>
      <c r="L337" s="938"/>
      <c r="M337" s="939"/>
      <c r="N337" s="938"/>
    </row>
    <row r="338">
      <c r="A338" s="232"/>
      <c r="B338" s="232"/>
      <c r="K338" s="939"/>
      <c r="L338" s="938"/>
      <c r="M338" s="939"/>
      <c r="N338" s="938"/>
    </row>
    <row r="339">
      <c r="A339" s="232"/>
      <c r="B339" s="232"/>
      <c r="K339" s="939"/>
      <c r="L339" s="938"/>
      <c r="M339" s="939"/>
      <c r="N339" s="1025"/>
    </row>
    <row r="340">
      <c r="A340" s="232"/>
      <c r="B340" s="232"/>
      <c r="K340" s="939"/>
      <c r="L340" s="938"/>
      <c r="M340" s="939"/>
      <c r="N340" s="938"/>
    </row>
    <row r="341">
      <c r="A341" s="232"/>
      <c r="B341" s="232"/>
      <c r="K341" s="939"/>
      <c r="L341" s="938"/>
      <c r="M341" s="939"/>
      <c r="N341" s="938"/>
    </row>
    <row r="342">
      <c r="A342" s="232"/>
      <c r="B342" s="232"/>
      <c r="K342" s="939"/>
      <c r="L342" s="938"/>
      <c r="M342" s="939"/>
      <c r="N342" s="938"/>
    </row>
    <row r="343">
      <c r="A343" s="232"/>
      <c r="B343" s="232"/>
      <c r="K343" s="939"/>
      <c r="L343" s="938"/>
      <c r="M343" s="939"/>
      <c r="N343" s="938"/>
    </row>
    <row r="344">
      <c r="A344" s="232"/>
      <c r="B344" s="232"/>
      <c r="K344" s="939"/>
      <c r="L344" s="938"/>
      <c r="M344" s="939"/>
      <c r="N344" s="938"/>
    </row>
    <row r="345">
      <c r="A345" s="232"/>
      <c r="B345" s="232"/>
      <c r="K345" s="939"/>
      <c r="L345" s="938"/>
      <c r="M345" s="939"/>
      <c r="N345" s="938"/>
    </row>
    <row r="346">
      <c r="A346" s="232"/>
      <c r="B346" s="232"/>
      <c r="K346" s="939"/>
      <c r="L346" s="938"/>
      <c r="M346" s="939"/>
      <c r="N346" s="938"/>
    </row>
    <row r="347">
      <c r="A347" s="232"/>
      <c r="B347" s="232"/>
      <c r="K347" s="939"/>
      <c r="L347" s="938"/>
      <c r="M347" s="939"/>
      <c r="N347" s="938"/>
    </row>
    <row r="348">
      <c r="A348" s="232"/>
      <c r="B348" s="232"/>
      <c r="K348" s="939"/>
      <c r="L348" s="938"/>
      <c r="M348" s="939"/>
      <c r="N348" s="938"/>
    </row>
    <row r="349">
      <c r="A349" s="232"/>
      <c r="B349" s="232"/>
      <c r="K349" s="939"/>
      <c r="L349" s="938"/>
      <c r="M349" s="939"/>
      <c r="N349" s="938"/>
    </row>
    <row r="350">
      <c r="A350" s="232"/>
      <c r="B350" s="232"/>
      <c r="K350" s="939"/>
      <c r="L350" s="938"/>
      <c r="M350" s="939"/>
      <c r="N350" s="938"/>
    </row>
    <row r="351">
      <c r="A351" s="232"/>
      <c r="B351" s="232"/>
      <c r="K351" s="939"/>
      <c r="L351" s="938"/>
      <c r="M351" s="939"/>
      <c r="N351" s="938"/>
    </row>
    <row r="352">
      <c r="A352" s="232"/>
      <c r="B352" s="232"/>
      <c r="K352" s="939"/>
      <c r="L352" s="938"/>
      <c r="M352" s="939"/>
      <c r="N352" s="938"/>
    </row>
    <row r="353">
      <c r="A353" s="232"/>
      <c r="B353" s="232"/>
      <c r="K353" s="939"/>
      <c r="L353" s="938"/>
      <c r="M353" s="939"/>
      <c r="N353" s="938"/>
    </row>
    <row r="354">
      <c r="A354" s="232"/>
      <c r="B354" s="232"/>
      <c r="K354" s="939"/>
      <c r="L354" s="938"/>
      <c r="M354" s="939"/>
      <c r="N354" s="938"/>
    </row>
    <row r="355">
      <c r="A355" s="232"/>
      <c r="B355" s="232"/>
      <c r="K355" s="939"/>
      <c r="L355" s="938"/>
      <c r="M355" s="939"/>
      <c r="N355" s="938"/>
    </row>
    <row r="356">
      <c r="A356" s="232"/>
      <c r="B356" s="232"/>
      <c r="K356" s="939"/>
      <c r="L356" s="938"/>
      <c r="M356" s="939"/>
      <c r="N356" s="938"/>
    </row>
    <row r="357">
      <c r="A357" s="232"/>
      <c r="B357" s="232"/>
      <c r="K357" s="939"/>
      <c r="L357" s="938"/>
      <c r="M357" s="939"/>
      <c r="N357" s="938"/>
    </row>
    <row r="358">
      <c r="A358" s="232"/>
      <c r="B358" s="232"/>
      <c r="K358" s="939"/>
      <c r="L358" s="938"/>
      <c r="M358" s="939"/>
      <c r="N358" s="938"/>
    </row>
    <row r="359">
      <c r="A359" s="232"/>
      <c r="B359" s="232"/>
      <c r="K359" s="939"/>
      <c r="L359" s="938"/>
      <c r="M359" s="939"/>
      <c r="N359" s="938"/>
    </row>
    <row r="360">
      <c r="A360" s="232"/>
      <c r="B360" s="232"/>
      <c r="K360" s="939"/>
      <c r="L360" s="938"/>
      <c r="M360" s="939"/>
      <c r="N360" s="938"/>
    </row>
    <row r="361">
      <c r="A361" s="232"/>
      <c r="B361" s="232"/>
      <c r="K361" s="939"/>
      <c r="L361" s="938"/>
      <c r="M361" s="939"/>
      <c r="N361" s="938"/>
    </row>
    <row r="362">
      <c r="A362" s="232"/>
      <c r="B362" s="232"/>
      <c r="K362" s="939"/>
      <c r="L362" s="938"/>
      <c r="M362" s="939"/>
      <c r="N362" s="938"/>
    </row>
    <row r="363">
      <c r="A363" s="232"/>
      <c r="B363" s="232"/>
      <c r="K363" s="939"/>
      <c r="L363" s="938"/>
      <c r="M363" s="939"/>
      <c r="N363" s="938"/>
    </row>
    <row r="364">
      <c r="A364" s="232"/>
      <c r="B364" s="232"/>
      <c r="K364" s="939"/>
      <c r="L364" s="938"/>
      <c r="M364" s="939"/>
      <c r="N364" s="938"/>
    </row>
    <row r="365">
      <c r="A365" s="232"/>
      <c r="B365" s="232"/>
      <c r="K365" s="939"/>
      <c r="L365" s="938"/>
      <c r="M365" s="939"/>
      <c r="N365" s="938"/>
    </row>
    <row r="366">
      <c r="A366" s="232"/>
      <c r="B366" s="232"/>
      <c r="K366" s="939"/>
      <c r="L366" s="938"/>
      <c r="M366" s="939"/>
      <c r="N366" s="938"/>
    </row>
    <row r="367">
      <c r="A367" s="232"/>
      <c r="B367" s="232"/>
      <c r="K367" s="939"/>
      <c r="L367" s="938"/>
      <c r="M367" s="939"/>
      <c r="N367" s="938"/>
    </row>
    <row r="368">
      <c r="A368" s="232"/>
      <c r="B368" s="232"/>
      <c r="K368" s="939"/>
      <c r="L368" s="938"/>
      <c r="M368" s="939"/>
      <c r="N368" s="938"/>
    </row>
    <row r="369">
      <c r="A369" s="232"/>
      <c r="B369" s="232"/>
      <c r="K369" s="939"/>
      <c r="L369" s="938"/>
      <c r="M369" s="939"/>
      <c r="N369" s="938"/>
    </row>
    <row r="370">
      <c r="A370" s="232"/>
      <c r="B370" s="232"/>
      <c r="K370" s="939"/>
      <c r="L370" s="938"/>
      <c r="M370" s="939"/>
      <c r="N370" s="938"/>
    </row>
    <row r="371">
      <c r="A371" s="232"/>
      <c r="B371" s="232"/>
      <c r="K371" s="939"/>
      <c r="L371" s="938"/>
      <c r="M371" s="939"/>
      <c r="N371" s="938"/>
    </row>
    <row r="372">
      <c r="A372" s="232"/>
      <c r="B372" s="232"/>
      <c r="K372" s="939"/>
      <c r="L372" s="938"/>
      <c r="M372" s="939"/>
      <c r="N372" s="938"/>
    </row>
    <row r="373">
      <c r="A373" s="232"/>
      <c r="B373" s="232"/>
      <c r="K373" s="939"/>
      <c r="L373" s="938"/>
      <c r="M373" s="939"/>
      <c r="N373" s="938"/>
    </row>
    <row r="374">
      <c r="A374" s="232"/>
      <c r="B374" s="232"/>
      <c r="K374" s="939"/>
      <c r="L374" s="938"/>
      <c r="M374" s="939"/>
      <c r="N374" s="938"/>
    </row>
    <row r="375">
      <c r="A375" s="232"/>
      <c r="B375" s="232"/>
      <c r="K375" s="939"/>
      <c r="L375" s="938"/>
      <c r="M375" s="939"/>
      <c r="N375" s="938"/>
    </row>
    <row r="376">
      <c r="A376" s="232"/>
      <c r="B376" s="232"/>
      <c r="K376" s="939"/>
      <c r="L376" s="938"/>
      <c r="M376" s="939"/>
      <c r="N376" s="938"/>
    </row>
    <row r="377">
      <c r="A377" s="232"/>
      <c r="B377" s="232"/>
      <c r="K377" s="939"/>
      <c r="L377" s="938"/>
      <c r="M377" s="939"/>
      <c r="N377" s="938"/>
    </row>
    <row r="378">
      <c r="A378" s="232"/>
      <c r="B378" s="232"/>
      <c r="K378" s="939"/>
      <c r="L378" s="938"/>
      <c r="M378" s="939"/>
      <c r="N378" s="938"/>
    </row>
    <row r="379">
      <c r="A379" s="232"/>
      <c r="B379" s="232"/>
      <c r="K379" s="939"/>
      <c r="L379" s="938"/>
      <c r="M379" s="939"/>
      <c r="N379" s="938"/>
    </row>
    <row r="380">
      <c r="A380" s="232"/>
      <c r="B380" s="232"/>
      <c r="K380" s="939"/>
      <c r="L380" s="938"/>
      <c r="M380" s="939"/>
      <c r="N380" s="938"/>
    </row>
    <row r="381">
      <c r="A381" s="232"/>
      <c r="B381" s="232"/>
      <c r="K381" s="939"/>
      <c r="L381" s="938"/>
      <c r="M381" s="939"/>
      <c r="N381" s="938"/>
    </row>
    <row r="382">
      <c r="A382" s="232"/>
      <c r="B382" s="232"/>
      <c r="K382" s="939"/>
      <c r="L382" s="938"/>
      <c r="M382" s="939"/>
      <c r="N382" s="938"/>
    </row>
    <row r="383">
      <c r="A383" s="232"/>
      <c r="B383" s="232"/>
      <c r="K383" s="939"/>
      <c r="L383" s="938"/>
      <c r="M383" s="939"/>
      <c r="N383" s="938"/>
    </row>
    <row r="384">
      <c r="A384" s="232"/>
      <c r="B384" s="232"/>
      <c r="K384" s="939"/>
      <c r="L384" s="938"/>
      <c r="M384" s="939"/>
      <c r="N384" s="938"/>
    </row>
    <row r="385">
      <c r="A385" s="232"/>
      <c r="B385" s="232"/>
      <c r="K385" s="939"/>
      <c r="L385" s="938"/>
      <c r="M385" s="939"/>
      <c r="N385" s="938"/>
    </row>
    <row r="386">
      <c r="A386" s="232"/>
      <c r="B386" s="232"/>
      <c r="K386" s="939"/>
      <c r="L386" s="938"/>
      <c r="M386" s="939"/>
      <c r="N386" s="938"/>
    </row>
    <row r="387">
      <c r="A387" s="232"/>
      <c r="B387" s="232"/>
      <c r="K387" s="939"/>
      <c r="L387" s="938"/>
      <c r="M387" s="939"/>
      <c r="N387" s="938"/>
    </row>
    <row r="388">
      <c r="A388" s="232"/>
      <c r="B388" s="232"/>
      <c r="K388" s="939"/>
      <c r="L388" s="938"/>
      <c r="M388" s="939"/>
      <c r="N388" s="938"/>
    </row>
    <row r="389">
      <c r="A389" s="232"/>
      <c r="B389" s="232"/>
      <c r="K389" s="939"/>
      <c r="L389" s="938"/>
      <c r="M389" s="939"/>
      <c r="N389" s="938"/>
    </row>
    <row r="390">
      <c r="A390" s="232"/>
      <c r="B390" s="232"/>
      <c r="K390" s="939"/>
      <c r="L390" s="938"/>
      <c r="M390" s="939"/>
      <c r="N390" s="938"/>
    </row>
    <row r="391">
      <c r="A391" s="232"/>
      <c r="B391" s="232"/>
      <c r="K391" s="939"/>
      <c r="L391" s="938"/>
      <c r="M391" s="939"/>
      <c r="N391" s="938"/>
    </row>
    <row r="392">
      <c r="A392" s="232"/>
      <c r="B392" s="232"/>
      <c r="K392" s="939"/>
      <c r="L392" s="938"/>
      <c r="M392" s="939"/>
      <c r="N392" s="938"/>
    </row>
    <row r="393">
      <c r="A393" s="232"/>
      <c r="B393" s="232"/>
      <c r="K393" s="939"/>
      <c r="L393" s="938"/>
      <c r="M393" s="939"/>
      <c r="N393" s="938"/>
    </row>
    <row r="394">
      <c r="A394" s="232"/>
      <c r="B394" s="232"/>
      <c r="K394" s="939"/>
      <c r="L394" s="938"/>
      <c r="M394" s="939"/>
      <c r="N394" s="938"/>
    </row>
    <row r="395">
      <c r="A395" s="232"/>
      <c r="B395" s="232"/>
      <c r="K395" s="939"/>
      <c r="L395" s="938"/>
      <c r="M395" s="939"/>
      <c r="N395" s="938"/>
    </row>
    <row r="396">
      <c r="A396" s="232"/>
      <c r="B396" s="232"/>
      <c r="K396" s="939"/>
      <c r="L396" s="938"/>
      <c r="M396" s="939"/>
      <c r="N396" s="938"/>
    </row>
    <row r="397">
      <c r="A397" s="232"/>
      <c r="B397" s="232"/>
      <c r="K397" s="939"/>
      <c r="L397" s="938"/>
      <c r="M397" s="939"/>
      <c r="N397" s="938"/>
    </row>
    <row r="398">
      <c r="A398" s="232"/>
      <c r="B398" s="232"/>
      <c r="K398" s="939"/>
      <c r="L398" s="938"/>
      <c r="M398" s="939"/>
      <c r="N398" s="938"/>
    </row>
    <row r="399">
      <c r="A399" s="232"/>
      <c r="B399" s="232"/>
      <c r="K399" s="939"/>
      <c r="L399" s="938"/>
      <c r="M399" s="939"/>
      <c r="N399" s="938"/>
    </row>
    <row r="400">
      <c r="A400" s="232"/>
      <c r="B400" s="232"/>
      <c r="K400" s="939"/>
      <c r="L400" s="938"/>
      <c r="M400" s="939"/>
      <c r="N400" s="938"/>
    </row>
    <row r="401">
      <c r="A401" s="232"/>
      <c r="B401" s="232"/>
      <c r="K401" s="939"/>
      <c r="L401" s="938"/>
      <c r="M401" s="939"/>
      <c r="N401" s="938"/>
    </row>
    <row r="402">
      <c r="A402" s="232"/>
      <c r="B402" s="232"/>
      <c r="K402" s="939"/>
      <c r="L402" s="938"/>
      <c r="M402" s="939"/>
      <c r="N402" s="938"/>
    </row>
    <row r="403">
      <c r="A403" s="232"/>
      <c r="B403" s="232"/>
      <c r="K403" s="939"/>
      <c r="L403" s="938"/>
      <c r="M403" s="939"/>
      <c r="N403" s="938"/>
    </row>
    <row r="404">
      <c r="A404" s="232"/>
      <c r="B404" s="232"/>
      <c r="K404" s="939"/>
      <c r="L404" s="938"/>
      <c r="M404" s="939"/>
      <c r="N404" s="938"/>
    </row>
    <row r="405">
      <c r="A405" s="232"/>
      <c r="B405" s="232"/>
      <c r="K405" s="939"/>
      <c r="L405" s="938"/>
      <c r="M405" s="939"/>
      <c r="N405" s="938"/>
    </row>
    <row r="406">
      <c r="A406" s="232"/>
      <c r="B406" s="232"/>
      <c r="K406" s="939"/>
      <c r="L406" s="938"/>
      <c r="M406" s="939"/>
      <c r="N406" s="938"/>
    </row>
    <row r="407">
      <c r="A407" s="232"/>
      <c r="B407" s="232"/>
      <c r="K407" s="939"/>
      <c r="L407" s="938"/>
      <c r="M407" s="939"/>
      <c r="N407" s="938"/>
    </row>
    <row r="408">
      <c r="A408" s="232"/>
      <c r="B408" s="232"/>
      <c r="K408" s="939"/>
      <c r="L408" s="938"/>
      <c r="M408" s="939"/>
      <c r="N408" s="938"/>
    </row>
    <row r="409">
      <c r="A409" s="232"/>
      <c r="B409" s="232"/>
      <c r="K409" s="939"/>
      <c r="L409" s="938"/>
      <c r="M409" s="939"/>
      <c r="N409" s="938"/>
    </row>
    <row r="410">
      <c r="A410" s="232"/>
      <c r="B410" s="232"/>
      <c r="K410" s="939"/>
      <c r="L410" s="938"/>
      <c r="M410" s="939"/>
      <c r="N410" s="938"/>
    </row>
    <row r="411">
      <c r="A411" s="232"/>
      <c r="B411" s="232"/>
      <c r="K411" s="939"/>
      <c r="L411" s="938"/>
      <c r="M411" s="939"/>
      <c r="N411" s="938"/>
    </row>
    <row r="412">
      <c r="A412" s="232"/>
      <c r="B412" s="232"/>
      <c r="K412" s="939"/>
      <c r="L412" s="938"/>
      <c r="M412" s="939"/>
      <c r="N412" s="938"/>
    </row>
    <row r="413">
      <c r="A413" s="232"/>
      <c r="B413" s="232"/>
      <c r="K413" s="939"/>
      <c r="L413" s="938"/>
      <c r="M413" s="939"/>
      <c r="N413" s="938"/>
    </row>
    <row r="414">
      <c r="A414" s="232"/>
      <c r="B414" s="232"/>
      <c r="K414" s="939"/>
      <c r="L414" s="938"/>
      <c r="M414" s="939"/>
      <c r="N414" s="938"/>
    </row>
    <row r="415">
      <c r="A415" s="232"/>
      <c r="B415" s="232"/>
      <c r="K415" s="939"/>
      <c r="L415" s="938"/>
      <c r="M415" s="939"/>
      <c r="N415" s="938"/>
    </row>
    <row r="416">
      <c r="A416" s="232"/>
      <c r="B416" s="232"/>
      <c r="K416" s="939"/>
      <c r="L416" s="938"/>
      <c r="M416" s="939"/>
      <c r="N416" s="938"/>
    </row>
    <row r="417">
      <c r="A417" s="232"/>
      <c r="B417" s="232"/>
      <c r="K417" s="939"/>
      <c r="L417" s="938"/>
      <c r="M417" s="939"/>
      <c r="N417" s="938"/>
    </row>
    <row r="418">
      <c r="A418" s="232"/>
      <c r="B418" s="232"/>
      <c r="K418" s="939"/>
      <c r="L418" s="938"/>
      <c r="M418" s="939"/>
      <c r="N418" s="938"/>
    </row>
    <row r="419">
      <c r="A419" s="232"/>
      <c r="B419" s="232"/>
      <c r="K419" s="939"/>
      <c r="L419" s="938"/>
      <c r="M419" s="939"/>
      <c r="N419" s="938"/>
    </row>
    <row r="420">
      <c r="A420" s="232"/>
      <c r="B420" s="232"/>
      <c r="K420" s="939"/>
      <c r="L420" s="938"/>
      <c r="M420" s="939"/>
      <c r="N420" s="938"/>
    </row>
    <row r="421">
      <c r="A421" s="232"/>
      <c r="B421" s="232"/>
      <c r="K421" s="939"/>
      <c r="L421" s="938"/>
      <c r="M421" s="939"/>
      <c r="N421" s="938"/>
    </row>
    <row r="422">
      <c r="A422" s="232"/>
      <c r="B422" s="232"/>
      <c r="K422" s="939"/>
      <c r="L422" s="938"/>
      <c r="M422" s="939"/>
      <c r="N422" s="938"/>
    </row>
    <row r="423">
      <c r="A423" s="232"/>
      <c r="B423" s="232"/>
      <c r="K423" s="939"/>
      <c r="L423" s="938"/>
      <c r="M423" s="939"/>
      <c r="N423" s="938"/>
    </row>
    <row r="424">
      <c r="A424" s="232"/>
      <c r="B424" s="232"/>
      <c r="K424" s="939"/>
      <c r="L424" s="938"/>
      <c r="M424" s="939"/>
      <c r="N424" s="938"/>
    </row>
    <row r="425">
      <c r="A425" s="232"/>
      <c r="B425" s="232"/>
      <c r="K425" s="939"/>
      <c r="L425" s="938"/>
      <c r="M425" s="939"/>
      <c r="N425" s="938"/>
    </row>
    <row r="426">
      <c r="A426" s="232"/>
      <c r="B426" s="232"/>
      <c r="K426" s="939"/>
      <c r="L426" s="938"/>
      <c r="M426" s="939"/>
      <c r="N426" s="938"/>
    </row>
    <row r="427">
      <c r="A427" s="232"/>
      <c r="B427" s="232"/>
      <c r="K427" s="939"/>
      <c r="L427" s="938"/>
      <c r="M427" s="939"/>
      <c r="N427" s="938"/>
    </row>
    <row r="428">
      <c r="A428" s="232"/>
      <c r="B428" s="232"/>
      <c r="K428" s="939"/>
      <c r="L428" s="938"/>
      <c r="M428" s="939"/>
      <c r="N428" s="938"/>
    </row>
    <row r="429">
      <c r="A429" s="232"/>
      <c r="B429" s="232"/>
      <c r="K429" s="939"/>
      <c r="L429" s="938"/>
      <c r="M429" s="939"/>
      <c r="N429" s="938"/>
    </row>
    <row r="430">
      <c r="A430" s="232"/>
      <c r="B430" s="232"/>
      <c r="K430" s="939"/>
      <c r="L430" s="938"/>
      <c r="M430" s="939"/>
      <c r="N430" s="938"/>
    </row>
    <row r="431">
      <c r="A431" s="232"/>
      <c r="B431" s="232"/>
      <c r="K431" s="939"/>
      <c r="L431" s="938"/>
      <c r="M431" s="939"/>
      <c r="N431" s="938"/>
    </row>
    <row r="432">
      <c r="A432" s="232"/>
      <c r="B432" s="232"/>
      <c r="K432" s="939"/>
      <c r="L432" s="938"/>
      <c r="M432" s="939"/>
      <c r="N432" s="938"/>
    </row>
    <row r="433">
      <c r="A433" s="232"/>
      <c r="B433" s="232"/>
      <c r="K433" s="939"/>
      <c r="L433" s="938"/>
      <c r="M433" s="939"/>
      <c r="N433" s="938"/>
    </row>
    <row r="434">
      <c r="A434" s="232"/>
      <c r="B434" s="232"/>
      <c r="K434" s="939"/>
      <c r="L434" s="938"/>
      <c r="M434" s="939"/>
      <c r="N434" s="938"/>
    </row>
    <row r="435">
      <c r="A435" s="232"/>
      <c r="B435" s="232"/>
      <c r="K435" s="939"/>
      <c r="L435" s="938"/>
      <c r="M435" s="939"/>
      <c r="N435" s="938"/>
    </row>
    <row r="436">
      <c r="A436" s="232"/>
      <c r="B436" s="232"/>
      <c r="K436" s="939"/>
      <c r="L436" s="938"/>
      <c r="M436" s="939"/>
      <c r="N436" s="938"/>
    </row>
    <row r="437">
      <c r="A437" s="232"/>
      <c r="B437" s="232"/>
      <c r="K437" s="939"/>
      <c r="L437" s="938"/>
      <c r="M437" s="939"/>
      <c r="N437" s="938"/>
    </row>
    <row r="438">
      <c r="A438" s="232"/>
      <c r="B438" s="232"/>
      <c r="K438" s="939"/>
      <c r="L438" s="938"/>
      <c r="M438" s="939"/>
      <c r="N438" s="938"/>
    </row>
    <row r="439">
      <c r="A439" s="232"/>
      <c r="B439" s="232"/>
      <c r="K439" s="939"/>
      <c r="L439" s="938"/>
      <c r="M439" s="939"/>
      <c r="N439" s="938"/>
    </row>
    <row r="440">
      <c r="A440" s="232"/>
      <c r="B440" s="232"/>
      <c r="K440" s="939"/>
      <c r="L440" s="938"/>
      <c r="M440" s="939"/>
      <c r="N440" s="938"/>
    </row>
    <row r="441">
      <c r="A441" s="232"/>
      <c r="B441" s="232"/>
      <c r="K441" s="939"/>
      <c r="L441" s="938"/>
      <c r="M441" s="939"/>
      <c r="N441" s="938"/>
    </row>
    <row r="442">
      <c r="A442" s="232"/>
      <c r="B442" s="232"/>
      <c r="K442" s="939"/>
      <c r="L442" s="938"/>
      <c r="M442" s="939"/>
      <c r="N442" s="938"/>
    </row>
    <row r="443">
      <c r="A443" s="232"/>
      <c r="B443" s="232"/>
      <c r="K443" s="939"/>
      <c r="L443" s="938"/>
      <c r="M443" s="939"/>
      <c r="N443" s="938"/>
    </row>
    <row r="444">
      <c r="A444" s="232"/>
      <c r="B444" s="232"/>
      <c r="K444" s="939"/>
      <c r="L444" s="938"/>
      <c r="M444" s="939"/>
      <c r="N444" s="938"/>
    </row>
    <row r="445">
      <c r="A445" s="232"/>
      <c r="B445" s="232"/>
      <c r="K445" s="939"/>
      <c r="L445" s="938"/>
      <c r="M445" s="939"/>
      <c r="N445" s="938"/>
    </row>
    <row r="446">
      <c r="A446" s="232"/>
      <c r="B446" s="232"/>
      <c r="K446" s="939"/>
      <c r="L446" s="938"/>
      <c r="M446" s="939"/>
      <c r="N446" s="938"/>
    </row>
    <row r="447">
      <c r="A447" s="232"/>
      <c r="B447" s="232"/>
      <c r="K447" s="939"/>
      <c r="L447" s="938"/>
      <c r="M447" s="939"/>
      <c r="N447" s="938"/>
    </row>
    <row r="448">
      <c r="A448" s="232"/>
      <c r="B448" s="232"/>
      <c r="K448" s="939"/>
      <c r="L448" s="938"/>
      <c r="M448" s="939"/>
      <c r="N448" s="938"/>
    </row>
    <row r="449">
      <c r="A449" s="232"/>
      <c r="B449" s="232"/>
      <c r="K449" s="939"/>
      <c r="L449" s="938"/>
      <c r="M449" s="939"/>
      <c r="N449" s="938"/>
    </row>
    <row r="450">
      <c r="A450" s="232"/>
      <c r="B450" s="232"/>
      <c r="K450" s="939"/>
      <c r="L450" s="938"/>
      <c r="M450" s="939"/>
      <c r="N450" s="938"/>
    </row>
    <row r="451">
      <c r="A451" s="232"/>
      <c r="B451" s="232"/>
      <c r="K451" s="939"/>
      <c r="L451" s="938"/>
      <c r="M451" s="939"/>
      <c r="N451" s="938"/>
    </row>
    <row r="452">
      <c r="A452" s="232"/>
      <c r="B452" s="232"/>
      <c r="K452" s="939"/>
      <c r="L452" s="938"/>
      <c r="M452" s="939"/>
      <c r="N452" s="938"/>
    </row>
    <row r="453">
      <c r="A453" s="232"/>
      <c r="B453" s="232"/>
      <c r="K453" s="939"/>
      <c r="L453" s="938"/>
      <c r="M453" s="939"/>
      <c r="N453" s="938"/>
    </row>
    <row r="454">
      <c r="A454" s="232"/>
      <c r="B454" s="232"/>
      <c r="K454" s="939"/>
      <c r="L454" s="938"/>
      <c r="M454" s="939"/>
      <c r="N454" s="938"/>
    </row>
    <row r="455">
      <c r="A455" s="232"/>
      <c r="B455" s="232"/>
      <c r="K455" s="939"/>
      <c r="L455" s="938"/>
      <c r="M455" s="939"/>
      <c r="N455" s="938"/>
    </row>
    <row r="456">
      <c r="A456" s="232"/>
      <c r="B456" s="232"/>
      <c r="K456" s="939"/>
      <c r="L456" s="938"/>
      <c r="M456" s="939"/>
      <c r="N456" s="938"/>
    </row>
    <row r="457">
      <c r="A457" s="232"/>
      <c r="B457" s="232"/>
      <c r="K457" s="939"/>
      <c r="L457" s="938"/>
      <c r="M457" s="939"/>
      <c r="N457" s="938"/>
    </row>
    <row r="458">
      <c r="A458" s="232"/>
      <c r="B458" s="232"/>
      <c r="K458" s="939"/>
      <c r="L458" s="938"/>
      <c r="M458" s="939"/>
      <c r="N458" s="938"/>
    </row>
    <row r="459">
      <c r="A459" s="232"/>
      <c r="B459" s="232"/>
      <c r="K459" s="939"/>
      <c r="L459" s="938"/>
      <c r="M459" s="939"/>
      <c r="N459" s="938"/>
    </row>
    <row r="460">
      <c r="A460" s="232"/>
      <c r="B460" s="232"/>
      <c r="K460" s="939"/>
      <c r="L460" s="938"/>
      <c r="M460" s="939"/>
      <c r="N460" s="938"/>
    </row>
    <row r="461">
      <c r="A461" s="232"/>
      <c r="B461" s="232"/>
      <c r="K461" s="939"/>
      <c r="L461" s="938"/>
      <c r="M461" s="939"/>
      <c r="N461" s="938"/>
    </row>
    <row r="462">
      <c r="A462" s="232"/>
      <c r="B462" s="232"/>
      <c r="K462" s="939"/>
      <c r="L462" s="938"/>
      <c r="M462" s="939"/>
      <c r="N462" s="938"/>
    </row>
    <row r="463">
      <c r="A463" s="232"/>
      <c r="B463" s="232"/>
      <c r="K463" s="939"/>
      <c r="L463" s="938"/>
      <c r="M463" s="939"/>
      <c r="N463" s="938"/>
    </row>
    <row r="464">
      <c r="A464" s="232"/>
      <c r="B464" s="232"/>
      <c r="K464" s="939"/>
      <c r="L464" s="938"/>
      <c r="M464" s="939"/>
      <c r="N464" s="938"/>
    </row>
    <row r="465">
      <c r="A465" s="232"/>
      <c r="B465" s="232"/>
      <c r="K465" s="939"/>
      <c r="L465" s="938"/>
      <c r="M465" s="939"/>
      <c r="N465" s="938"/>
    </row>
    <row r="466">
      <c r="A466" s="232"/>
      <c r="B466" s="232"/>
      <c r="K466" s="939"/>
      <c r="L466" s="938"/>
      <c r="M466" s="939"/>
      <c r="N466" s="938"/>
    </row>
    <row r="467">
      <c r="A467" s="232"/>
      <c r="B467" s="232"/>
      <c r="K467" s="939"/>
      <c r="L467" s="938"/>
      <c r="M467" s="939"/>
      <c r="N467" s="938"/>
    </row>
    <row r="468">
      <c r="A468" s="232"/>
      <c r="B468" s="232"/>
      <c r="K468" s="939"/>
      <c r="L468" s="938"/>
      <c r="M468" s="939"/>
      <c r="N468" s="938"/>
    </row>
    <row r="469">
      <c r="A469" s="232"/>
      <c r="B469" s="232"/>
      <c r="K469" s="939"/>
      <c r="L469" s="938"/>
      <c r="M469" s="939"/>
      <c r="N469" s="938"/>
    </row>
    <row r="470">
      <c r="A470" s="232"/>
      <c r="B470" s="232"/>
      <c r="K470" s="939"/>
      <c r="L470" s="938"/>
      <c r="M470" s="939"/>
      <c r="N470" s="938"/>
    </row>
    <row r="471">
      <c r="A471" s="232"/>
      <c r="B471" s="232"/>
      <c r="K471" s="939"/>
      <c r="L471" s="938"/>
      <c r="M471" s="939"/>
      <c r="N471" s="938"/>
    </row>
    <row r="472">
      <c r="A472" s="232"/>
      <c r="B472" s="232"/>
      <c r="K472" s="939"/>
      <c r="L472" s="938"/>
      <c r="M472" s="939"/>
      <c r="N472" s="938"/>
    </row>
    <row r="473">
      <c r="A473" s="232"/>
      <c r="B473" s="232"/>
      <c r="K473" s="939"/>
      <c r="L473" s="938"/>
      <c r="M473" s="939"/>
      <c r="N473" s="938"/>
    </row>
    <row r="474">
      <c r="A474" s="232"/>
      <c r="B474" s="232"/>
      <c r="K474" s="939"/>
      <c r="L474" s="938"/>
      <c r="M474" s="939"/>
      <c r="N474" s="938"/>
    </row>
    <row r="475">
      <c r="A475" s="232"/>
      <c r="B475" s="232"/>
      <c r="K475" s="939"/>
      <c r="L475" s="938"/>
      <c r="M475" s="939"/>
      <c r="N475" s="938"/>
    </row>
    <row r="476">
      <c r="A476" s="232"/>
      <c r="B476" s="232"/>
      <c r="K476" s="939"/>
      <c r="L476" s="938"/>
      <c r="M476" s="939"/>
      <c r="N476" s="938"/>
    </row>
    <row r="477">
      <c r="A477" s="232"/>
      <c r="B477" s="232"/>
      <c r="K477" s="939"/>
      <c r="L477" s="938"/>
      <c r="M477" s="939"/>
      <c r="N477" s="938"/>
    </row>
    <row r="478">
      <c r="A478" s="232"/>
      <c r="B478" s="232"/>
      <c r="K478" s="939"/>
      <c r="L478" s="938"/>
      <c r="M478" s="939"/>
      <c r="N478" s="938"/>
    </row>
    <row r="479">
      <c r="A479" s="232"/>
      <c r="B479" s="232"/>
      <c r="K479" s="939"/>
      <c r="L479" s="938"/>
      <c r="M479" s="939"/>
      <c r="N479" s="938"/>
    </row>
    <row r="480">
      <c r="A480" s="232"/>
      <c r="B480" s="232"/>
      <c r="K480" s="939"/>
      <c r="L480" s="938"/>
      <c r="M480" s="939"/>
      <c r="N480" s="938"/>
    </row>
    <row r="481">
      <c r="A481" s="232"/>
      <c r="B481" s="232"/>
      <c r="K481" s="939"/>
      <c r="L481" s="938"/>
      <c r="M481" s="939"/>
      <c r="N481" s="938"/>
    </row>
    <row r="482">
      <c r="A482" s="232"/>
      <c r="B482" s="232"/>
      <c r="K482" s="939"/>
      <c r="L482" s="938"/>
      <c r="M482" s="939"/>
      <c r="N482" s="938"/>
    </row>
    <row r="483">
      <c r="A483" s="232"/>
      <c r="B483" s="232"/>
      <c r="K483" s="939"/>
      <c r="L483" s="938"/>
      <c r="M483" s="939"/>
      <c r="N483" s="938"/>
    </row>
    <row r="484">
      <c r="A484" s="232"/>
      <c r="B484" s="232"/>
      <c r="K484" s="939"/>
      <c r="L484" s="938"/>
      <c r="M484" s="939"/>
      <c r="N484" s="938"/>
    </row>
    <row r="485">
      <c r="A485" s="232"/>
      <c r="B485" s="232"/>
      <c r="K485" s="939"/>
      <c r="L485" s="938"/>
      <c r="M485" s="939"/>
      <c r="N485" s="938"/>
    </row>
    <row r="486">
      <c r="A486" s="232"/>
      <c r="B486" s="232"/>
      <c r="K486" s="939"/>
      <c r="L486" s="938"/>
      <c r="M486" s="939"/>
      <c r="N486" s="938"/>
    </row>
    <row r="487">
      <c r="A487" s="232"/>
      <c r="B487" s="232"/>
      <c r="K487" s="939"/>
      <c r="L487" s="938"/>
      <c r="M487" s="939"/>
      <c r="N487" s="938"/>
    </row>
    <row r="488">
      <c r="A488" s="232"/>
      <c r="B488" s="232"/>
      <c r="K488" s="939"/>
      <c r="L488" s="938"/>
      <c r="M488" s="939"/>
      <c r="N488" s="938"/>
    </row>
    <row r="489">
      <c r="A489" s="232"/>
      <c r="B489" s="232"/>
      <c r="K489" s="939"/>
      <c r="L489" s="938"/>
      <c r="M489" s="939"/>
      <c r="N489" s="938"/>
    </row>
    <row r="490">
      <c r="A490" s="232"/>
      <c r="B490" s="232"/>
      <c r="K490" s="939"/>
      <c r="L490" s="938"/>
      <c r="M490" s="939"/>
      <c r="N490" s="938"/>
    </row>
    <row r="491">
      <c r="A491" s="232"/>
      <c r="B491" s="232"/>
      <c r="K491" s="939"/>
      <c r="L491" s="938"/>
      <c r="M491" s="939"/>
      <c r="N491" s="938"/>
    </row>
    <row r="492">
      <c r="A492" s="232"/>
      <c r="B492" s="232"/>
      <c r="K492" s="939"/>
      <c r="L492" s="938"/>
      <c r="M492" s="939"/>
      <c r="N492" s="938"/>
    </row>
    <row r="493">
      <c r="A493" s="232"/>
      <c r="B493" s="232"/>
      <c r="K493" s="939"/>
      <c r="L493" s="938"/>
      <c r="M493" s="939"/>
      <c r="N493" s="938"/>
    </row>
    <row r="494">
      <c r="A494" s="232"/>
      <c r="B494" s="232"/>
      <c r="K494" s="939"/>
      <c r="L494" s="938"/>
      <c r="M494" s="939"/>
      <c r="N494" s="938"/>
    </row>
    <row r="495">
      <c r="A495" s="232"/>
      <c r="B495" s="232"/>
      <c r="K495" s="939"/>
      <c r="L495" s="938"/>
      <c r="M495" s="939"/>
      <c r="N495" s="938"/>
    </row>
    <row r="496">
      <c r="A496" s="232"/>
      <c r="B496" s="232"/>
      <c r="K496" s="939"/>
      <c r="L496" s="938"/>
      <c r="M496" s="939"/>
      <c r="N496" s="938"/>
    </row>
    <row r="497">
      <c r="A497" s="232"/>
      <c r="B497" s="232"/>
      <c r="K497" s="939"/>
      <c r="L497" s="938"/>
      <c r="M497" s="939"/>
      <c r="N497" s="938"/>
    </row>
    <row r="498">
      <c r="A498" s="232"/>
      <c r="B498" s="232"/>
      <c r="K498" s="939"/>
      <c r="L498" s="938"/>
      <c r="M498" s="939"/>
      <c r="N498" s="938"/>
    </row>
    <row r="499">
      <c r="A499" s="232"/>
      <c r="B499" s="232"/>
      <c r="K499" s="939"/>
      <c r="L499" s="938"/>
      <c r="M499" s="939"/>
      <c r="N499" s="938"/>
    </row>
    <row r="500">
      <c r="A500" s="232"/>
      <c r="B500" s="232"/>
      <c r="K500" s="939"/>
      <c r="L500" s="938"/>
      <c r="M500" s="939"/>
      <c r="N500" s="938"/>
    </row>
    <row r="501">
      <c r="A501" s="232"/>
      <c r="B501" s="232"/>
      <c r="K501" s="939"/>
      <c r="L501" s="938"/>
      <c r="M501" s="939"/>
      <c r="N501" s="938"/>
    </row>
    <row r="502">
      <c r="A502" s="232"/>
      <c r="B502" s="232"/>
      <c r="K502" s="939"/>
      <c r="L502" s="938"/>
      <c r="M502" s="939"/>
      <c r="N502" s="938"/>
    </row>
    <row r="503">
      <c r="A503" s="232"/>
      <c r="B503" s="232"/>
      <c r="K503" s="939"/>
      <c r="L503" s="938"/>
      <c r="M503" s="939"/>
      <c r="N503" s="938"/>
    </row>
    <row r="504">
      <c r="A504" s="232"/>
      <c r="B504" s="232"/>
      <c r="K504" s="939"/>
      <c r="L504" s="938"/>
      <c r="M504" s="939"/>
      <c r="N504" s="938"/>
    </row>
    <row r="505">
      <c r="A505" s="232"/>
      <c r="B505" s="232"/>
      <c r="K505" s="939"/>
      <c r="L505" s="938"/>
      <c r="M505" s="939"/>
      <c r="N505" s="938"/>
    </row>
    <row r="506">
      <c r="A506" s="232"/>
      <c r="B506" s="232"/>
      <c r="K506" s="939"/>
      <c r="L506" s="938"/>
      <c r="M506" s="939"/>
      <c r="N506" s="938"/>
    </row>
    <row r="507">
      <c r="A507" s="232"/>
      <c r="B507" s="232"/>
      <c r="K507" s="939"/>
      <c r="L507" s="938"/>
      <c r="M507" s="939"/>
      <c r="N507" s="938"/>
    </row>
    <row r="508">
      <c r="A508" s="232"/>
      <c r="B508" s="232"/>
      <c r="K508" s="939"/>
      <c r="L508" s="938"/>
      <c r="M508" s="939"/>
      <c r="N508" s="938"/>
    </row>
    <row r="509">
      <c r="A509" s="232"/>
      <c r="B509" s="232"/>
      <c r="K509" s="939"/>
      <c r="L509" s="938"/>
      <c r="M509" s="939"/>
      <c r="N509" s="938"/>
    </row>
    <row r="510">
      <c r="A510" s="232"/>
      <c r="B510" s="232"/>
      <c r="K510" s="939"/>
      <c r="L510" s="938"/>
      <c r="M510" s="939"/>
      <c r="N510" s="938"/>
    </row>
    <row r="511">
      <c r="A511" s="232"/>
      <c r="B511" s="232"/>
      <c r="K511" s="939"/>
      <c r="L511" s="938"/>
      <c r="M511" s="939"/>
      <c r="N511" s="938"/>
    </row>
    <row r="512">
      <c r="A512" s="232"/>
      <c r="B512" s="232"/>
      <c r="K512" s="939"/>
      <c r="L512" s="938"/>
      <c r="M512" s="939"/>
      <c r="N512" s="938"/>
    </row>
    <row r="513">
      <c r="A513" s="232"/>
      <c r="B513" s="232"/>
      <c r="K513" s="939"/>
      <c r="L513" s="938"/>
      <c r="M513" s="939"/>
      <c r="N513" s="938"/>
    </row>
    <row r="514">
      <c r="A514" s="232"/>
      <c r="B514" s="232"/>
      <c r="K514" s="939"/>
      <c r="L514" s="938"/>
      <c r="M514" s="939"/>
      <c r="N514" s="938"/>
    </row>
    <row r="515">
      <c r="A515" s="232"/>
      <c r="B515" s="232"/>
      <c r="K515" s="939"/>
      <c r="L515" s="938"/>
      <c r="M515" s="939"/>
      <c r="N515" s="938"/>
    </row>
    <row r="516">
      <c r="A516" s="232"/>
      <c r="B516" s="232"/>
      <c r="K516" s="939"/>
      <c r="L516" s="938"/>
      <c r="M516" s="939"/>
      <c r="N516" s="938"/>
    </row>
    <row r="517">
      <c r="A517" s="232"/>
      <c r="B517" s="232"/>
      <c r="K517" s="939"/>
      <c r="L517" s="938"/>
      <c r="M517" s="939"/>
      <c r="N517" s="938"/>
    </row>
    <row r="518">
      <c r="A518" s="232"/>
      <c r="B518" s="232"/>
      <c r="K518" s="939"/>
      <c r="L518" s="938"/>
      <c r="M518" s="939"/>
      <c r="N518" s="938"/>
    </row>
    <row r="519">
      <c r="A519" s="232"/>
      <c r="B519" s="232"/>
      <c r="K519" s="939"/>
      <c r="L519" s="938"/>
      <c r="M519" s="939"/>
      <c r="N519" s="938"/>
    </row>
    <row r="520">
      <c r="A520" s="232"/>
      <c r="B520" s="232"/>
      <c r="K520" s="939"/>
      <c r="L520" s="938"/>
      <c r="M520" s="939"/>
      <c r="N520" s="938"/>
    </row>
    <row r="521">
      <c r="A521" s="232"/>
      <c r="B521" s="232"/>
      <c r="K521" s="939"/>
      <c r="L521" s="938"/>
      <c r="M521" s="939"/>
      <c r="N521" s="938"/>
    </row>
    <row r="522">
      <c r="A522" s="232"/>
      <c r="B522" s="232"/>
      <c r="K522" s="939"/>
      <c r="L522" s="938"/>
      <c r="M522" s="939"/>
      <c r="N522" s="938"/>
    </row>
    <row r="523">
      <c r="A523" s="232"/>
      <c r="B523" s="232"/>
      <c r="K523" s="939"/>
      <c r="L523" s="938"/>
      <c r="M523" s="939"/>
      <c r="N523" s="938"/>
    </row>
    <row r="524">
      <c r="A524" s="232"/>
      <c r="B524" s="232"/>
      <c r="K524" s="939"/>
      <c r="L524" s="938"/>
      <c r="M524" s="939"/>
      <c r="N524" s="938"/>
    </row>
    <row r="525">
      <c r="A525" s="232"/>
      <c r="B525" s="232"/>
      <c r="K525" s="939"/>
      <c r="L525" s="938"/>
      <c r="M525" s="939"/>
      <c r="N525" s="938"/>
    </row>
    <row r="526">
      <c r="A526" s="232"/>
      <c r="B526" s="232"/>
      <c r="K526" s="939"/>
      <c r="L526" s="938"/>
      <c r="M526" s="939"/>
      <c r="N526" s="938"/>
    </row>
    <row r="527">
      <c r="A527" s="232"/>
      <c r="B527" s="232"/>
      <c r="K527" s="939"/>
      <c r="L527" s="938"/>
      <c r="M527" s="939"/>
      <c r="N527" s="938"/>
    </row>
    <row r="528">
      <c r="A528" s="232"/>
      <c r="B528" s="232"/>
      <c r="K528" s="939"/>
      <c r="L528" s="938"/>
      <c r="M528" s="939"/>
      <c r="N528" s="938"/>
    </row>
    <row r="529">
      <c r="A529" s="232"/>
      <c r="B529" s="232"/>
      <c r="K529" s="939"/>
      <c r="L529" s="938"/>
      <c r="M529" s="939"/>
      <c r="N529" s="938"/>
    </row>
    <row r="530">
      <c r="A530" s="232"/>
      <c r="B530" s="232"/>
      <c r="K530" s="939"/>
      <c r="L530" s="938"/>
      <c r="M530" s="939"/>
      <c r="N530" s="938"/>
    </row>
    <row r="531">
      <c r="A531" s="232"/>
      <c r="B531" s="232"/>
      <c r="K531" s="939"/>
      <c r="L531" s="938"/>
      <c r="M531" s="939"/>
      <c r="N531" s="938"/>
    </row>
    <row r="532">
      <c r="A532" s="232"/>
      <c r="B532" s="232"/>
      <c r="K532" s="939"/>
      <c r="L532" s="938"/>
      <c r="M532" s="939"/>
      <c r="N532" s="938"/>
    </row>
    <row r="533">
      <c r="A533" s="232"/>
      <c r="B533" s="232"/>
      <c r="K533" s="939"/>
      <c r="L533" s="938"/>
      <c r="M533" s="939"/>
      <c r="N533" s="938"/>
    </row>
    <row r="534">
      <c r="A534" s="232"/>
      <c r="B534" s="232"/>
      <c r="K534" s="939"/>
      <c r="L534" s="938"/>
      <c r="M534" s="939"/>
      <c r="N534" s="938"/>
    </row>
    <row r="535">
      <c r="A535" s="232"/>
      <c r="B535" s="232"/>
      <c r="K535" s="939"/>
      <c r="L535" s="938"/>
      <c r="M535" s="939"/>
      <c r="N535" s="938"/>
    </row>
    <row r="536">
      <c r="A536" s="232"/>
      <c r="B536" s="232"/>
      <c r="K536" s="939"/>
      <c r="L536" s="938"/>
      <c r="M536" s="939"/>
      <c r="N536" s="938"/>
    </row>
    <row r="537">
      <c r="A537" s="232"/>
      <c r="B537" s="232"/>
      <c r="K537" s="939"/>
      <c r="L537" s="938"/>
      <c r="M537" s="939"/>
      <c r="N537" s="938"/>
    </row>
    <row r="538">
      <c r="A538" s="232"/>
      <c r="B538" s="232"/>
      <c r="K538" s="939"/>
      <c r="L538" s="938"/>
      <c r="M538" s="939"/>
      <c r="N538" s="938"/>
    </row>
    <row r="539">
      <c r="A539" s="232"/>
      <c r="B539" s="232"/>
      <c r="K539" s="939"/>
      <c r="L539" s="938"/>
      <c r="M539" s="939"/>
      <c r="N539" s="938"/>
    </row>
    <row r="540">
      <c r="A540" s="232"/>
      <c r="B540" s="232"/>
      <c r="K540" s="939"/>
      <c r="L540" s="938"/>
      <c r="M540" s="939"/>
      <c r="N540" s="938"/>
    </row>
    <row r="541">
      <c r="A541" s="232"/>
      <c r="B541" s="232"/>
      <c r="K541" s="939"/>
      <c r="L541" s="938"/>
      <c r="M541" s="939"/>
      <c r="N541" s="938"/>
    </row>
    <row r="542">
      <c r="A542" s="232"/>
      <c r="B542" s="232"/>
      <c r="K542" s="939"/>
      <c r="L542" s="938"/>
      <c r="M542" s="939"/>
      <c r="N542" s="938"/>
    </row>
    <row r="543">
      <c r="A543" s="232"/>
      <c r="B543" s="232"/>
      <c r="K543" s="939"/>
      <c r="L543" s="938"/>
      <c r="M543" s="939"/>
      <c r="N543" s="938"/>
    </row>
    <row r="544">
      <c r="A544" s="232"/>
      <c r="B544" s="232"/>
      <c r="K544" s="939"/>
      <c r="L544" s="938"/>
      <c r="M544" s="939"/>
      <c r="N544" s="938"/>
    </row>
    <row r="545">
      <c r="A545" s="232"/>
      <c r="B545" s="232"/>
      <c r="K545" s="939"/>
      <c r="L545" s="938"/>
      <c r="M545" s="939"/>
      <c r="N545" s="938"/>
    </row>
    <row r="546">
      <c r="A546" s="232"/>
      <c r="B546" s="232"/>
      <c r="K546" s="939"/>
      <c r="L546" s="938"/>
      <c r="M546" s="939"/>
      <c r="N546" s="938"/>
    </row>
    <row r="547">
      <c r="A547" s="232"/>
      <c r="B547" s="232"/>
      <c r="K547" s="939"/>
      <c r="L547" s="938"/>
      <c r="M547" s="939"/>
      <c r="N547" s="938"/>
    </row>
    <row r="548">
      <c r="A548" s="232"/>
      <c r="B548" s="232"/>
      <c r="K548" s="939"/>
      <c r="L548" s="938"/>
      <c r="M548" s="939"/>
      <c r="N548" s="938"/>
    </row>
    <row r="549">
      <c r="A549" s="232"/>
      <c r="B549" s="232"/>
      <c r="K549" s="939"/>
      <c r="L549" s="938"/>
      <c r="M549" s="939"/>
      <c r="N549" s="938"/>
    </row>
    <row r="550">
      <c r="A550" s="232"/>
      <c r="B550" s="232"/>
      <c r="K550" s="939"/>
      <c r="L550" s="938"/>
      <c r="M550" s="939"/>
      <c r="N550" s="938"/>
    </row>
    <row r="551">
      <c r="A551" s="232"/>
      <c r="B551" s="232"/>
      <c r="K551" s="939"/>
      <c r="L551" s="938"/>
      <c r="M551" s="939"/>
      <c r="N551" s="938"/>
    </row>
    <row r="552">
      <c r="A552" s="232"/>
      <c r="B552" s="232"/>
      <c r="K552" s="939"/>
      <c r="L552" s="938"/>
      <c r="M552" s="939"/>
      <c r="N552" s="938"/>
    </row>
    <row r="553">
      <c r="A553" s="232"/>
      <c r="B553" s="232"/>
      <c r="K553" s="939"/>
      <c r="L553" s="938"/>
      <c r="M553" s="939"/>
      <c r="N553" s="938"/>
    </row>
    <row r="554">
      <c r="A554" s="232"/>
      <c r="B554" s="232"/>
      <c r="K554" s="939"/>
      <c r="L554" s="938"/>
      <c r="M554" s="939"/>
      <c r="N554" s="938"/>
    </row>
    <row r="555">
      <c r="A555" s="232"/>
      <c r="B555" s="232"/>
      <c r="K555" s="939"/>
      <c r="L555" s="938"/>
      <c r="M555" s="939"/>
      <c r="N555" s="938"/>
    </row>
    <row r="556">
      <c r="A556" s="232"/>
      <c r="B556" s="232"/>
      <c r="K556" s="939"/>
      <c r="L556" s="938"/>
      <c r="M556" s="939"/>
      <c r="N556" s="938"/>
    </row>
    <row r="557">
      <c r="A557" s="232"/>
      <c r="B557" s="232"/>
      <c r="K557" s="939"/>
      <c r="L557" s="938"/>
      <c r="M557" s="939"/>
      <c r="N557" s="938"/>
    </row>
    <row r="558">
      <c r="A558" s="232"/>
      <c r="B558" s="232"/>
      <c r="K558" s="939"/>
      <c r="L558" s="938"/>
      <c r="M558" s="939"/>
      <c r="N558" s="938"/>
    </row>
    <row r="559">
      <c r="A559" s="232"/>
      <c r="B559" s="232"/>
      <c r="K559" s="939"/>
      <c r="L559" s="938"/>
      <c r="M559" s="939"/>
      <c r="N559" s="938"/>
    </row>
    <row r="560">
      <c r="A560" s="232"/>
      <c r="B560" s="232"/>
      <c r="K560" s="939"/>
      <c r="L560" s="938"/>
      <c r="M560" s="939"/>
      <c r="N560" s="938"/>
    </row>
    <row r="561">
      <c r="A561" s="232"/>
      <c r="B561" s="232"/>
      <c r="K561" s="939"/>
      <c r="L561" s="938"/>
      <c r="M561" s="939"/>
      <c r="N561" s="938"/>
    </row>
    <row r="562">
      <c r="A562" s="232"/>
      <c r="B562" s="232"/>
      <c r="K562" s="939"/>
      <c r="L562" s="938"/>
      <c r="M562" s="939"/>
      <c r="N562" s="938"/>
    </row>
    <row r="563">
      <c r="A563" s="232"/>
      <c r="B563" s="232"/>
      <c r="K563" s="939"/>
      <c r="L563" s="938"/>
      <c r="M563" s="939"/>
      <c r="N563" s="938"/>
    </row>
    <row r="564">
      <c r="A564" s="232"/>
      <c r="B564" s="232"/>
      <c r="K564" s="939"/>
      <c r="L564" s="938"/>
      <c r="M564" s="939"/>
      <c r="N564" s="938"/>
    </row>
    <row r="565">
      <c r="A565" s="232"/>
      <c r="B565" s="232"/>
      <c r="K565" s="939"/>
      <c r="L565" s="938"/>
      <c r="M565" s="939"/>
      <c r="N565" s="938"/>
    </row>
    <row r="566">
      <c r="A566" s="232"/>
      <c r="B566" s="232"/>
      <c r="K566" s="939"/>
      <c r="L566" s="938"/>
      <c r="M566" s="939"/>
      <c r="N566" s="938"/>
    </row>
    <row r="567">
      <c r="A567" s="232"/>
      <c r="B567" s="232"/>
      <c r="K567" s="939"/>
      <c r="L567" s="938"/>
      <c r="M567" s="939"/>
      <c r="N567" s="938"/>
    </row>
    <row r="568">
      <c r="A568" s="232"/>
      <c r="B568" s="232"/>
      <c r="K568" s="939"/>
      <c r="L568" s="938"/>
      <c r="M568" s="939"/>
      <c r="N568" s="938"/>
    </row>
    <row r="569">
      <c r="A569" s="232"/>
      <c r="B569" s="232"/>
      <c r="K569" s="939"/>
      <c r="L569" s="938"/>
      <c r="M569" s="939"/>
      <c r="N569" s="938"/>
    </row>
    <row r="570">
      <c r="A570" s="232"/>
      <c r="B570" s="232"/>
      <c r="K570" s="939"/>
      <c r="L570" s="938"/>
      <c r="M570" s="939"/>
      <c r="N570" s="938"/>
    </row>
    <row r="571">
      <c r="A571" s="232"/>
      <c r="B571" s="232"/>
      <c r="K571" s="939"/>
      <c r="L571" s="938"/>
      <c r="M571" s="939"/>
      <c r="N571" s="938"/>
    </row>
    <row r="572">
      <c r="A572" s="232"/>
      <c r="B572" s="232"/>
      <c r="K572" s="939"/>
      <c r="L572" s="938"/>
      <c r="M572" s="939"/>
      <c r="N572" s="938"/>
    </row>
    <row r="573">
      <c r="A573" s="232"/>
      <c r="B573" s="232"/>
      <c r="K573" s="939"/>
      <c r="L573" s="938"/>
      <c r="M573" s="939"/>
      <c r="N573" s="938"/>
    </row>
    <row r="574">
      <c r="A574" s="232"/>
      <c r="B574" s="232"/>
      <c r="K574" s="939"/>
      <c r="L574" s="938"/>
      <c r="M574" s="939"/>
      <c r="N574" s="938"/>
    </row>
    <row r="575">
      <c r="A575" s="232"/>
      <c r="B575" s="232"/>
      <c r="K575" s="939"/>
      <c r="L575" s="938"/>
      <c r="M575" s="939"/>
      <c r="N575" s="938"/>
    </row>
    <row r="576">
      <c r="A576" s="232"/>
      <c r="B576" s="232"/>
      <c r="K576" s="939"/>
      <c r="L576" s="938"/>
      <c r="M576" s="939"/>
      <c r="N576" s="938"/>
    </row>
    <row r="577">
      <c r="A577" s="232"/>
      <c r="B577" s="232"/>
      <c r="K577" s="939"/>
      <c r="L577" s="938"/>
      <c r="M577" s="939"/>
      <c r="N577" s="938"/>
    </row>
    <row r="578">
      <c r="A578" s="232"/>
      <c r="B578" s="232"/>
      <c r="K578" s="939"/>
      <c r="L578" s="938"/>
      <c r="M578" s="939"/>
      <c r="N578" s="938"/>
    </row>
    <row r="579">
      <c r="A579" s="232"/>
      <c r="B579" s="232"/>
      <c r="K579" s="939"/>
      <c r="L579" s="938"/>
      <c r="M579" s="939"/>
      <c r="N579" s="938"/>
    </row>
    <row r="580">
      <c r="A580" s="232"/>
      <c r="B580" s="232"/>
      <c r="K580" s="939"/>
      <c r="L580" s="938"/>
      <c r="M580" s="939"/>
      <c r="N580" s="938"/>
    </row>
    <row r="581">
      <c r="A581" s="232"/>
      <c r="B581" s="232"/>
      <c r="K581" s="939"/>
      <c r="L581" s="938"/>
      <c r="M581" s="939"/>
      <c r="N581" s="938"/>
    </row>
    <row r="582">
      <c r="A582" s="232"/>
      <c r="B582" s="232"/>
      <c r="K582" s="939"/>
      <c r="L582" s="938"/>
      <c r="M582" s="939"/>
      <c r="N582" s="938"/>
    </row>
    <row r="583">
      <c r="A583" s="232"/>
      <c r="B583" s="232"/>
      <c r="K583" s="939"/>
      <c r="L583" s="938"/>
      <c r="M583" s="939"/>
      <c r="N583" s="938"/>
    </row>
    <row r="584">
      <c r="A584" s="232"/>
      <c r="B584" s="232"/>
      <c r="K584" s="939"/>
      <c r="L584" s="938"/>
      <c r="M584" s="939"/>
      <c r="N584" s="938"/>
    </row>
    <row r="585">
      <c r="A585" s="232"/>
      <c r="B585" s="232"/>
      <c r="K585" s="939"/>
      <c r="L585" s="938"/>
      <c r="M585" s="939"/>
      <c r="N585" s="938"/>
    </row>
    <row r="586">
      <c r="A586" s="232"/>
      <c r="B586" s="232"/>
      <c r="K586" s="939"/>
      <c r="L586" s="938"/>
      <c r="M586" s="939"/>
      <c r="N586" s="938"/>
    </row>
    <row r="587">
      <c r="A587" s="232"/>
      <c r="B587" s="232"/>
      <c r="K587" s="939"/>
      <c r="L587" s="938"/>
      <c r="M587" s="939"/>
      <c r="N587" s="938"/>
    </row>
    <row r="588">
      <c r="A588" s="232"/>
      <c r="B588" s="232"/>
      <c r="K588" s="939"/>
      <c r="L588" s="938"/>
      <c r="M588" s="939"/>
      <c r="N588" s="938"/>
    </row>
    <row r="589">
      <c r="A589" s="232"/>
      <c r="B589" s="232"/>
      <c r="K589" s="939"/>
      <c r="L589" s="938"/>
      <c r="M589" s="939"/>
      <c r="N589" s="938"/>
    </row>
    <row r="590">
      <c r="A590" s="232"/>
      <c r="B590" s="232"/>
      <c r="K590" s="939"/>
      <c r="L590" s="938"/>
      <c r="M590" s="939"/>
      <c r="N590" s="938"/>
    </row>
    <row r="591">
      <c r="A591" s="232"/>
      <c r="B591" s="232"/>
      <c r="K591" s="939"/>
      <c r="L591" s="938"/>
      <c r="M591" s="939"/>
      <c r="N591" s="938"/>
    </row>
    <row r="592">
      <c r="A592" s="232"/>
      <c r="B592" s="232"/>
      <c r="K592" s="939"/>
      <c r="L592" s="938"/>
      <c r="M592" s="939"/>
      <c r="N592" s="938"/>
    </row>
    <row r="593">
      <c r="A593" s="232"/>
      <c r="B593" s="232"/>
      <c r="K593" s="939"/>
      <c r="L593" s="938"/>
      <c r="M593" s="939"/>
      <c r="N593" s="938"/>
    </row>
    <row r="594">
      <c r="A594" s="232"/>
      <c r="B594" s="232"/>
      <c r="K594" s="939"/>
      <c r="L594" s="938"/>
      <c r="M594" s="939"/>
      <c r="N594" s="938"/>
    </row>
    <row r="595">
      <c r="A595" s="232"/>
      <c r="B595" s="232"/>
      <c r="K595" s="939"/>
      <c r="L595" s="938"/>
      <c r="M595" s="939"/>
      <c r="N595" s="938"/>
    </row>
    <row r="596">
      <c r="A596" s="232"/>
      <c r="B596" s="232"/>
      <c r="K596" s="939"/>
      <c r="L596" s="938"/>
      <c r="M596" s="939"/>
      <c r="N596" s="938"/>
    </row>
    <row r="597">
      <c r="A597" s="232"/>
      <c r="B597" s="232"/>
      <c r="K597" s="939"/>
      <c r="L597" s="938"/>
      <c r="M597" s="939"/>
      <c r="N597" s="938"/>
    </row>
    <row r="598">
      <c r="A598" s="232"/>
      <c r="B598" s="232"/>
      <c r="K598" s="939"/>
      <c r="L598" s="938"/>
      <c r="M598" s="939"/>
      <c r="N598" s="938"/>
    </row>
    <row r="599">
      <c r="A599" s="232"/>
      <c r="B599" s="232"/>
      <c r="K599" s="939"/>
      <c r="L599" s="938"/>
      <c r="M599" s="939"/>
      <c r="N599" s="938"/>
    </row>
    <row r="600">
      <c r="A600" s="232"/>
      <c r="B600" s="232"/>
      <c r="K600" s="939"/>
      <c r="L600" s="938"/>
      <c r="M600" s="939"/>
      <c r="N600" s="938"/>
    </row>
    <row r="601">
      <c r="A601" s="232"/>
      <c r="B601" s="232"/>
      <c r="K601" s="939"/>
      <c r="L601" s="938"/>
      <c r="M601" s="939"/>
      <c r="N601" s="938"/>
    </row>
    <row r="602">
      <c r="A602" s="232"/>
      <c r="B602" s="232"/>
      <c r="K602" s="939"/>
      <c r="L602" s="938"/>
      <c r="M602" s="939"/>
      <c r="N602" s="938"/>
    </row>
    <row r="603">
      <c r="A603" s="232"/>
      <c r="B603" s="232"/>
      <c r="K603" s="939"/>
      <c r="L603" s="938"/>
      <c r="M603" s="939"/>
      <c r="N603" s="938"/>
    </row>
    <row r="604">
      <c r="A604" s="232"/>
      <c r="B604" s="232"/>
      <c r="K604" s="939"/>
      <c r="L604" s="938"/>
      <c r="M604" s="939"/>
      <c r="N604" s="938"/>
    </row>
    <row r="605">
      <c r="A605" s="232"/>
      <c r="B605" s="232"/>
      <c r="K605" s="939"/>
      <c r="L605" s="938"/>
      <c r="M605" s="939"/>
      <c r="N605" s="938"/>
    </row>
    <row r="606">
      <c r="A606" s="232"/>
      <c r="B606" s="232"/>
      <c r="K606" s="939"/>
      <c r="L606" s="938"/>
      <c r="M606" s="939"/>
      <c r="N606" s="938"/>
    </row>
    <row r="607">
      <c r="A607" s="232"/>
      <c r="B607" s="232"/>
      <c r="K607" s="939"/>
      <c r="L607" s="938"/>
      <c r="M607" s="939"/>
      <c r="N607" s="938"/>
    </row>
    <row r="608">
      <c r="A608" s="232"/>
      <c r="B608" s="232"/>
      <c r="K608" s="939"/>
      <c r="L608" s="938"/>
      <c r="M608" s="939"/>
      <c r="N608" s="938"/>
    </row>
    <row r="609">
      <c r="A609" s="232"/>
      <c r="B609" s="232"/>
      <c r="K609" s="939"/>
      <c r="L609" s="938"/>
      <c r="M609" s="939"/>
      <c r="N609" s="938"/>
    </row>
    <row r="610">
      <c r="A610" s="232"/>
      <c r="B610" s="232"/>
      <c r="K610" s="939"/>
      <c r="L610" s="938"/>
      <c r="M610" s="939"/>
      <c r="N610" s="938"/>
    </row>
    <row r="611">
      <c r="A611" s="232"/>
      <c r="B611" s="232"/>
      <c r="K611" s="939"/>
      <c r="L611" s="938"/>
      <c r="M611" s="939"/>
      <c r="N611" s="938"/>
    </row>
    <row r="612">
      <c r="A612" s="232"/>
      <c r="B612" s="232"/>
      <c r="K612" s="939"/>
      <c r="L612" s="938"/>
      <c r="M612" s="939"/>
      <c r="N612" s="938"/>
    </row>
    <row r="613">
      <c r="A613" s="232"/>
      <c r="B613" s="232"/>
      <c r="K613" s="939"/>
      <c r="L613" s="938"/>
      <c r="M613" s="939"/>
      <c r="N613" s="938"/>
    </row>
    <row r="614">
      <c r="A614" s="232"/>
      <c r="B614" s="232"/>
      <c r="K614" s="939"/>
      <c r="L614" s="938"/>
      <c r="M614" s="939"/>
      <c r="N614" s="938"/>
    </row>
    <row r="615">
      <c r="A615" s="232"/>
      <c r="B615" s="232"/>
      <c r="K615" s="939"/>
      <c r="L615" s="938"/>
      <c r="M615" s="939"/>
      <c r="N615" s="938"/>
    </row>
    <row r="616">
      <c r="A616" s="232"/>
      <c r="B616" s="232"/>
      <c r="K616" s="939"/>
      <c r="L616" s="938"/>
      <c r="M616" s="939"/>
      <c r="N616" s="938"/>
    </row>
    <row r="617">
      <c r="A617" s="232"/>
      <c r="B617" s="232"/>
      <c r="K617" s="939"/>
      <c r="L617" s="938"/>
      <c r="M617" s="939"/>
      <c r="N617" s="938"/>
    </row>
    <row r="618">
      <c r="A618" s="232"/>
      <c r="B618" s="232"/>
      <c r="K618" s="939"/>
      <c r="L618" s="938"/>
      <c r="M618" s="939"/>
      <c r="N618" s="938"/>
    </row>
    <row r="619">
      <c r="A619" s="232"/>
      <c r="B619" s="232"/>
      <c r="K619" s="939"/>
      <c r="L619" s="938"/>
      <c r="M619" s="939"/>
      <c r="N619" s="938"/>
    </row>
    <row r="620">
      <c r="A620" s="232"/>
      <c r="B620" s="232"/>
      <c r="K620" s="939"/>
      <c r="L620" s="938"/>
      <c r="M620" s="939"/>
      <c r="N620" s="938"/>
    </row>
    <row r="621">
      <c r="A621" s="232"/>
      <c r="B621" s="232"/>
      <c r="K621" s="939"/>
      <c r="L621" s="938"/>
      <c r="M621" s="939"/>
      <c r="N621" s="938"/>
    </row>
    <row r="622">
      <c r="A622" s="232"/>
      <c r="B622" s="232"/>
      <c r="K622" s="939"/>
      <c r="L622" s="938"/>
      <c r="M622" s="939"/>
      <c r="N622" s="938"/>
    </row>
    <row r="623">
      <c r="A623" s="232"/>
      <c r="B623" s="232"/>
      <c r="K623" s="939"/>
      <c r="L623" s="938"/>
      <c r="M623" s="939"/>
      <c r="N623" s="938"/>
    </row>
    <row r="624">
      <c r="A624" s="232"/>
      <c r="B624" s="232"/>
      <c r="K624" s="939"/>
      <c r="L624" s="938"/>
      <c r="M624" s="939"/>
      <c r="N624" s="938"/>
    </row>
    <row r="625">
      <c r="A625" s="232"/>
      <c r="B625" s="232"/>
      <c r="K625" s="939"/>
      <c r="L625" s="938"/>
      <c r="M625" s="939"/>
      <c r="N625" s="938"/>
    </row>
    <row r="626">
      <c r="A626" s="232"/>
      <c r="B626" s="232"/>
      <c r="K626" s="939"/>
      <c r="L626" s="938"/>
      <c r="M626" s="939"/>
      <c r="N626" s="938"/>
    </row>
    <row r="627">
      <c r="A627" s="232"/>
      <c r="B627" s="232"/>
      <c r="K627" s="939"/>
      <c r="L627" s="938"/>
      <c r="M627" s="939"/>
      <c r="N627" s="938"/>
    </row>
    <row r="628">
      <c r="A628" s="232"/>
      <c r="B628" s="232"/>
      <c r="K628" s="939"/>
      <c r="L628" s="938"/>
      <c r="M628" s="939"/>
      <c r="N628" s="938"/>
    </row>
    <row r="629">
      <c r="A629" s="232"/>
      <c r="B629" s="232"/>
      <c r="K629" s="939"/>
      <c r="L629" s="938"/>
      <c r="M629" s="939"/>
      <c r="N629" s="938"/>
    </row>
    <row r="630">
      <c r="A630" s="232"/>
      <c r="B630" s="232"/>
      <c r="K630" s="939"/>
      <c r="L630" s="938"/>
      <c r="M630" s="939"/>
      <c r="N630" s="938"/>
    </row>
    <row r="631">
      <c r="A631" s="232"/>
      <c r="B631" s="232"/>
      <c r="K631" s="939"/>
      <c r="L631" s="938"/>
      <c r="M631" s="939"/>
      <c r="N631" s="938"/>
    </row>
    <row r="632">
      <c r="A632" s="232"/>
      <c r="B632" s="232"/>
      <c r="K632" s="939"/>
      <c r="L632" s="938"/>
      <c r="M632" s="939"/>
      <c r="N632" s="938"/>
    </row>
    <row r="633">
      <c r="A633" s="232"/>
      <c r="B633" s="232"/>
      <c r="K633" s="939"/>
      <c r="L633" s="938"/>
      <c r="M633" s="939"/>
      <c r="N633" s="938"/>
    </row>
    <row r="634">
      <c r="A634" s="232"/>
      <c r="B634" s="232"/>
      <c r="K634" s="939"/>
      <c r="L634" s="938"/>
      <c r="M634" s="939"/>
      <c r="N634" s="938"/>
    </row>
    <row r="635">
      <c r="A635" s="232"/>
      <c r="B635" s="232"/>
      <c r="K635" s="939"/>
      <c r="L635" s="938"/>
      <c r="M635" s="939"/>
      <c r="N635" s="938"/>
    </row>
    <row r="636">
      <c r="A636" s="232"/>
      <c r="B636" s="232"/>
      <c r="K636" s="939"/>
      <c r="L636" s="938"/>
      <c r="M636" s="939"/>
      <c r="N636" s="938"/>
    </row>
    <row r="637">
      <c r="A637" s="232"/>
      <c r="B637" s="232"/>
      <c r="K637" s="939"/>
      <c r="L637" s="938"/>
      <c r="M637" s="939"/>
      <c r="N637" s="938"/>
    </row>
    <row r="638">
      <c r="A638" s="232"/>
      <c r="B638" s="232"/>
      <c r="K638" s="939"/>
      <c r="L638" s="938"/>
      <c r="M638" s="939"/>
      <c r="N638" s="938"/>
    </row>
    <row r="639">
      <c r="A639" s="232"/>
      <c r="B639" s="232"/>
      <c r="K639" s="939"/>
      <c r="L639" s="938"/>
      <c r="M639" s="939"/>
      <c r="N639" s="938"/>
    </row>
    <row r="640">
      <c r="A640" s="232"/>
      <c r="B640" s="232"/>
      <c r="K640" s="939"/>
      <c r="L640" s="938"/>
      <c r="M640" s="939"/>
      <c r="N640" s="938"/>
    </row>
    <row r="641">
      <c r="A641" s="232"/>
      <c r="B641" s="232"/>
      <c r="K641" s="939"/>
      <c r="L641" s="938"/>
      <c r="M641" s="939"/>
      <c r="N641" s="938"/>
    </row>
    <row r="642">
      <c r="A642" s="232"/>
      <c r="B642" s="232"/>
      <c r="K642" s="939"/>
      <c r="L642" s="938"/>
      <c r="M642" s="939"/>
      <c r="N642" s="938"/>
    </row>
    <row r="643">
      <c r="A643" s="232"/>
      <c r="B643" s="232"/>
      <c r="K643" s="939"/>
      <c r="L643" s="938"/>
      <c r="M643" s="939"/>
      <c r="N643" s="938"/>
    </row>
    <row r="644">
      <c r="A644" s="232"/>
      <c r="B644" s="232"/>
      <c r="K644" s="939"/>
      <c r="L644" s="938"/>
      <c r="M644" s="939"/>
      <c r="N644" s="938"/>
    </row>
    <row r="645">
      <c r="A645" s="232"/>
      <c r="B645" s="232"/>
      <c r="K645" s="939"/>
      <c r="L645" s="938"/>
      <c r="M645" s="939"/>
      <c r="N645" s="938"/>
    </row>
    <row r="646">
      <c r="A646" s="232"/>
      <c r="B646" s="232"/>
      <c r="K646" s="939"/>
      <c r="L646" s="938"/>
      <c r="M646" s="939"/>
      <c r="N646" s="938"/>
    </row>
    <row r="647">
      <c r="A647" s="232"/>
      <c r="B647" s="232"/>
      <c r="K647" s="939"/>
      <c r="L647" s="938"/>
      <c r="M647" s="939"/>
      <c r="N647" s="938"/>
    </row>
    <row r="648">
      <c r="A648" s="232"/>
      <c r="B648" s="232"/>
      <c r="K648" s="939"/>
      <c r="L648" s="938"/>
      <c r="M648" s="939"/>
      <c r="N648" s="938"/>
    </row>
    <row r="649">
      <c r="A649" s="232"/>
      <c r="B649" s="232"/>
      <c r="K649" s="939"/>
      <c r="L649" s="938"/>
      <c r="M649" s="939"/>
      <c r="N649" s="938"/>
    </row>
    <row r="650">
      <c r="A650" s="232"/>
      <c r="B650" s="232"/>
      <c r="K650" s="939"/>
      <c r="L650" s="938"/>
      <c r="M650" s="939"/>
      <c r="N650" s="938"/>
    </row>
    <row r="651">
      <c r="A651" s="232"/>
      <c r="B651" s="232"/>
      <c r="K651" s="939"/>
      <c r="L651" s="938"/>
      <c r="M651" s="939"/>
      <c r="N651" s="938"/>
    </row>
    <row r="652">
      <c r="A652" s="232"/>
      <c r="B652" s="232"/>
      <c r="K652" s="939"/>
      <c r="L652" s="938"/>
      <c r="M652" s="939"/>
      <c r="N652" s="938"/>
    </row>
    <row r="653">
      <c r="A653" s="232"/>
      <c r="B653" s="232"/>
      <c r="K653" s="939"/>
      <c r="L653" s="938"/>
      <c r="M653" s="939"/>
      <c r="N653" s="938"/>
    </row>
    <row r="654">
      <c r="A654" s="232"/>
      <c r="B654" s="232"/>
      <c r="K654" s="939"/>
      <c r="L654" s="938"/>
      <c r="M654" s="939"/>
      <c r="N654" s="938"/>
    </row>
    <row r="655">
      <c r="A655" s="232"/>
      <c r="B655" s="232"/>
      <c r="K655" s="939"/>
      <c r="L655" s="938"/>
      <c r="M655" s="939"/>
      <c r="N655" s="938"/>
    </row>
    <row r="656">
      <c r="A656" s="232"/>
      <c r="B656" s="232"/>
      <c r="K656" s="939"/>
      <c r="L656" s="938"/>
      <c r="M656" s="939"/>
      <c r="N656" s="938"/>
    </row>
    <row r="657">
      <c r="A657" s="232"/>
      <c r="B657" s="232"/>
      <c r="K657" s="939"/>
      <c r="L657" s="938"/>
      <c r="M657" s="939"/>
      <c r="N657" s="938"/>
    </row>
    <row r="658">
      <c r="A658" s="232"/>
      <c r="B658" s="232"/>
      <c r="K658" s="939"/>
      <c r="L658" s="938"/>
      <c r="M658" s="939"/>
      <c r="N658" s="938"/>
    </row>
    <row r="659">
      <c r="A659" s="232"/>
      <c r="B659" s="232"/>
      <c r="K659" s="939"/>
      <c r="L659" s="938"/>
      <c r="M659" s="939"/>
      <c r="N659" s="938"/>
    </row>
    <row r="660">
      <c r="A660" s="232"/>
      <c r="B660" s="232"/>
      <c r="K660" s="939"/>
      <c r="L660" s="938"/>
      <c r="M660" s="939"/>
      <c r="N660" s="938"/>
    </row>
    <row r="661">
      <c r="A661" s="232"/>
      <c r="B661" s="232"/>
      <c r="K661" s="939"/>
      <c r="L661" s="938"/>
      <c r="M661" s="939"/>
      <c r="N661" s="938"/>
    </row>
    <row r="662">
      <c r="A662" s="232"/>
      <c r="B662" s="232"/>
      <c r="K662" s="939"/>
      <c r="L662" s="938"/>
      <c r="M662" s="939"/>
      <c r="N662" s="938"/>
    </row>
    <row r="663">
      <c r="A663" s="232"/>
      <c r="B663" s="232"/>
      <c r="K663" s="939"/>
      <c r="L663" s="938"/>
      <c r="M663" s="939"/>
      <c r="N663" s="938"/>
    </row>
    <row r="664">
      <c r="A664" s="232"/>
      <c r="B664" s="232"/>
      <c r="K664" s="939"/>
      <c r="L664" s="938"/>
      <c r="M664" s="939"/>
      <c r="N664" s="938"/>
    </row>
    <row r="665">
      <c r="A665" s="232"/>
      <c r="B665" s="232"/>
      <c r="K665" s="939"/>
      <c r="L665" s="938"/>
      <c r="M665" s="939"/>
      <c r="N665" s="938"/>
    </row>
    <row r="666">
      <c r="A666" s="232"/>
      <c r="B666" s="232"/>
      <c r="K666" s="939"/>
      <c r="L666" s="938"/>
      <c r="M666" s="939"/>
      <c r="N666" s="938"/>
    </row>
    <row r="667">
      <c r="A667" s="232"/>
      <c r="B667" s="232"/>
      <c r="K667" s="939"/>
      <c r="L667" s="938"/>
      <c r="M667" s="939"/>
      <c r="N667" s="938"/>
    </row>
    <row r="668">
      <c r="A668" s="232"/>
      <c r="B668" s="232"/>
      <c r="K668" s="939"/>
      <c r="L668" s="938"/>
      <c r="M668" s="939"/>
      <c r="N668" s="938"/>
    </row>
    <row r="669">
      <c r="A669" s="232"/>
      <c r="B669" s="232"/>
      <c r="K669" s="939"/>
      <c r="L669" s="938"/>
      <c r="M669" s="939"/>
      <c r="N669" s="938"/>
    </row>
    <row r="670">
      <c r="A670" s="232"/>
      <c r="B670" s="232"/>
      <c r="K670" s="939"/>
      <c r="L670" s="938"/>
      <c r="M670" s="939"/>
      <c r="N670" s="938"/>
    </row>
    <row r="671">
      <c r="A671" s="232"/>
      <c r="B671" s="232"/>
      <c r="K671" s="939"/>
      <c r="L671" s="938"/>
      <c r="M671" s="939"/>
      <c r="N671" s="938"/>
    </row>
    <row r="672">
      <c r="A672" s="232"/>
      <c r="B672" s="232"/>
      <c r="K672" s="939"/>
      <c r="L672" s="938"/>
      <c r="M672" s="939"/>
      <c r="N672" s="938"/>
    </row>
    <row r="673">
      <c r="A673" s="232"/>
      <c r="B673" s="232"/>
      <c r="K673" s="939"/>
      <c r="L673" s="938"/>
      <c r="M673" s="939"/>
      <c r="N673" s="938"/>
    </row>
    <row r="674">
      <c r="A674" s="232"/>
      <c r="B674" s="232"/>
      <c r="K674" s="939"/>
      <c r="L674" s="938"/>
      <c r="M674" s="939"/>
      <c r="N674" s="938"/>
    </row>
    <row r="675">
      <c r="A675" s="232"/>
      <c r="B675" s="232"/>
      <c r="K675" s="939"/>
      <c r="L675" s="938"/>
      <c r="M675" s="939"/>
      <c r="N675" s="938"/>
    </row>
    <row r="676">
      <c r="A676" s="232"/>
      <c r="B676" s="232"/>
      <c r="K676" s="939"/>
      <c r="L676" s="938"/>
      <c r="M676" s="939"/>
      <c r="N676" s="938"/>
    </row>
    <row r="677">
      <c r="A677" s="232"/>
      <c r="B677" s="232"/>
      <c r="K677" s="939"/>
      <c r="L677" s="938"/>
      <c r="M677" s="939"/>
      <c r="N677" s="938"/>
    </row>
    <row r="678">
      <c r="A678" s="232"/>
      <c r="B678" s="232"/>
      <c r="K678" s="939"/>
      <c r="L678" s="938"/>
      <c r="M678" s="939"/>
      <c r="N678" s="938"/>
    </row>
    <row r="679">
      <c r="A679" s="232"/>
      <c r="B679" s="232"/>
      <c r="K679" s="939"/>
      <c r="L679" s="938"/>
      <c r="M679" s="939"/>
      <c r="N679" s="938"/>
    </row>
    <row r="680">
      <c r="A680" s="232"/>
      <c r="B680" s="232"/>
      <c r="K680" s="939"/>
      <c r="L680" s="938"/>
      <c r="M680" s="939"/>
      <c r="N680" s="938"/>
    </row>
    <row r="681">
      <c r="A681" s="232"/>
      <c r="B681" s="232"/>
      <c r="K681" s="939"/>
      <c r="L681" s="938"/>
      <c r="M681" s="939"/>
      <c r="N681" s="938"/>
    </row>
    <row r="682">
      <c r="A682" s="232"/>
      <c r="B682" s="232"/>
      <c r="K682" s="939"/>
      <c r="L682" s="938"/>
      <c r="M682" s="939"/>
      <c r="N682" s="938"/>
    </row>
    <row r="683">
      <c r="A683" s="232"/>
      <c r="B683" s="232"/>
      <c r="K683" s="939"/>
      <c r="L683" s="938"/>
      <c r="M683" s="939"/>
      <c r="N683" s="938"/>
    </row>
    <row r="684">
      <c r="A684" s="232"/>
      <c r="B684" s="232"/>
      <c r="K684" s="939"/>
      <c r="L684" s="938"/>
      <c r="M684" s="939"/>
      <c r="N684" s="938"/>
    </row>
    <row r="685">
      <c r="A685" s="232"/>
      <c r="B685" s="232"/>
      <c r="K685" s="939"/>
      <c r="L685" s="938"/>
      <c r="M685" s="939"/>
      <c r="N685" s="938"/>
    </row>
    <row r="686">
      <c r="A686" s="232"/>
      <c r="B686" s="232"/>
      <c r="K686" s="939"/>
      <c r="L686" s="938"/>
      <c r="M686" s="939"/>
      <c r="N686" s="938"/>
    </row>
    <row r="687">
      <c r="A687" s="232"/>
      <c r="B687" s="232"/>
      <c r="K687" s="939"/>
      <c r="L687" s="938"/>
      <c r="M687" s="939"/>
      <c r="N687" s="938"/>
    </row>
    <row r="688">
      <c r="A688" s="232"/>
      <c r="B688" s="232"/>
      <c r="K688" s="939"/>
      <c r="L688" s="938"/>
      <c r="M688" s="939"/>
      <c r="N688" s="938"/>
    </row>
    <row r="689">
      <c r="A689" s="232"/>
      <c r="B689" s="232"/>
      <c r="K689" s="939"/>
      <c r="L689" s="938"/>
      <c r="M689" s="939"/>
      <c r="N689" s="938"/>
    </row>
    <row r="690">
      <c r="A690" s="232"/>
      <c r="B690" s="232"/>
      <c r="K690" s="939"/>
      <c r="L690" s="938"/>
      <c r="M690" s="939"/>
      <c r="N690" s="938"/>
    </row>
    <row r="691">
      <c r="A691" s="232"/>
      <c r="B691" s="232"/>
      <c r="K691" s="939"/>
      <c r="L691" s="938"/>
      <c r="M691" s="939"/>
      <c r="N691" s="938"/>
    </row>
    <row r="692">
      <c r="A692" s="232"/>
      <c r="B692" s="232"/>
      <c r="K692" s="939"/>
      <c r="L692" s="938"/>
      <c r="M692" s="939"/>
      <c r="N692" s="938"/>
    </row>
    <row r="693">
      <c r="A693" s="232"/>
      <c r="B693" s="232"/>
      <c r="K693" s="939"/>
      <c r="L693" s="938"/>
      <c r="M693" s="939"/>
      <c r="N693" s="938"/>
    </row>
    <row r="694">
      <c r="A694" s="232"/>
      <c r="B694" s="232"/>
      <c r="K694" s="939"/>
      <c r="L694" s="938"/>
      <c r="M694" s="939"/>
      <c r="N694" s="938"/>
    </row>
    <row r="695">
      <c r="A695" s="232"/>
      <c r="B695" s="232"/>
      <c r="K695" s="939"/>
      <c r="L695" s="938"/>
      <c r="M695" s="939"/>
      <c r="N695" s="938"/>
    </row>
    <row r="696">
      <c r="A696" s="232"/>
      <c r="B696" s="232"/>
      <c r="K696" s="939"/>
      <c r="L696" s="938"/>
      <c r="M696" s="939"/>
      <c r="N696" s="938"/>
    </row>
    <row r="697">
      <c r="A697" s="232"/>
      <c r="B697" s="232"/>
      <c r="K697" s="939"/>
      <c r="L697" s="938"/>
      <c r="M697" s="939"/>
      <c r="N697" s="938"/>
    </row>
    <row r="698">
      <c r="A698" s="232"/>
      <c r="B698" s="232"/>
      <c r="K698" s="939"/>
      <c r="L698" s="938"/>
      <c r="M698" s="939"/>
      <c r="N698" s="938"/>
    </row>
    <row r="699">
      <c r="A699" s="232"/>
      <c r="B699" s="232"/>
      <c r="K699" s="939"/>
      <c r="L699" s="938"/>
      <c r="M699" s="939"/>
      <c r="N699" s="938"/>
    </row>
    <row r="700">
      <c r="A700" s="232"/>
      <c r="B700" s="232"/>
      <c r="K700" s="939"/>
      <c r="L700" s="938"/>
      <c r="M700" s="939"/>
      <c r="N700" s="938"/>
    </row>
    <row r="701">
      <c r="A701" s="232"/>
      <c r="B701" s="232"/>
      <c r="K701" s="939"/>
      <c r="L701" s="938"/>
      <c r="M701" s="939"/>
      <c r="N701" s="938"/>
    </row>
    <row r="702">
      <c r="A702" s="232"/>
      <c r="B702" s="232"/>
      <c r="K702" s="939"/>
      <c r="L702" s="938"/>
      <c r="M702" s="939"/>
      <c r="N702" s="938"/>
    </row>
    <row r="703">
      <c r="A703" s="232"/>
      <c r="B703" s="232"/>
      <c r="K703" s="939"/>
      <c r="L703" s="938"/>
      <c r="M703" s="939"/>
      <c r="N703" s="938"/>
    </row>
    <row r="704">
      <c r="A704" s="232"/>
      <c r="B704" s="232"/>
      <c r="K704" s="939"/>
      <c r="L704" s="938"/>
      <c r="M704" s="939"/>
      <c r="N704" s="938"/>
    </row>
    <row r="705">
      <c r="A705" s="232"/>
      <c r="B705" s="232"/>
      <c r="K705" s="939"/>
      <c r="L705" s="938"/>
      <c r="M705" s="939"/>
      <c r="N705" s="938"/>
    </row>
    <row r="706">
      <c r="A706" s="232"/>
      <c r="B706" s="232"/>
      <c r="K706" s="939"/>
      <c r="L706" s="938"/>
      <c r="M706" s="939"/>
      <c r="N706" s="938"/>
    </row>
    <row r="707">
      <c r="A707" s="232"/>
      <c r="B707" s="232"/>
      <c r="K707" s="939"/>
      <c r="L707" s="938"/>
      <c r="M707" s="939"/>
      <c r="N707" s="938"/>
    </row>
    <row r="708">
      <c r="A708" s="232"/>
      <c r="B708" s="232"/>
      <c r="K708" s="939"/>
      <c r="L708" s="938"/>
      <c r="M708" s="939"/>
      <c r="N708" s="938"/>
    </row>
    <row r="709">
      <c r="A709" s="232"/>
      <c r="B709" s="232"/>
      <c r="K709" s="939"/>
      <c r="L709" s="938"/>
      <c r="M709" s="939"/>
      <c r="N709" s="938"/>
    </row>
    <row r="710">
      <c r="A710" s="232"/>
      <c r="B710" s="232"/>
      <c r="K710" s="939"/>
      <c r="L710" s="938"/>
      <c r="M710" s="939"/>
      <c r="N710" s="938"/>
    </row>
    <row r="711">
      <c r="A711" s="232"/>
      <c r="B711" s="232"/>
      <c r="K711" s="939"/>
      <c r="L711" s="938"/>
      <c r="M711" s="939"/>
      <c r="N711" s="938"/>
    </row>
    <row r="712">
      <c r="A712" s="232"/>
      <c r="B712" s="232"/>
      <c r="K712" s="939"/>
      <c r="L712" s="938"/>
      <c r="M712" s="939"/>
      <c r="N712" s="938"/>
    </row>
    <row r="713">
      <c r="A713" s="232"/>
      <c r="B713" s="232"/>
      <c r="K713" s="939"/>
      <c r="L713" s="938"/>
      <c r="M713" s="939"/>
      <c r="N713" s="938"/>
    </row>
    <row r="714">
      <c r="A714" s="232"/>
      <c r="B714" s="232"/>
      <c r="K714" s="939"/>
      <c r="L714" s="938"/>
      <c r="M714" s="939"/>
      <c r="N714" s="938"/>
    </row>
    <row r="715">
      <c r="A715" s="232"/>
      <c r="B715" s="232"/>
      <c r="K715" s="939"/>
      <c r="L715" s="938"/>
      <c r="M715" s="939"/>
      <c r="N715" s="938"/>
    </row>
    <row r="716">
      <c r="A716" s="232"/>
      <c r="B716" s="232"/>
      <c r="K716" s="939"/>
      <c r="L716" s="938"/>
      <c r="M716" s="939"/>
      <c r="N716" s="938"/>
    </row>
    <row r="717">
      <c r="A717" s="232"/>
      <c r="B717" s="232"/>
      <c r="K717" s="939"/>
      <c r="L717" s="938"/>
      <c r="M717" s="939"/>
      <c r="N717" s="938"/>
    </row>
    <row r="718">
      <c r="A718" s="232"/>
      <c r="B718" s="232"/>
      <c r="K718" s="939"/>
      <c r="L718" s="938"/>
      <c r="M718" s="939"/>
      <c r="N718" s="938"/>
    </row>
    <row r="719">
      <c r="A719" s="232"/>
      <c r="B719" s="232"/>
      <c r="K719" s="939"/>
      <c r="L719" s="938"/>
      <c r="M719" s="939"/>
      <c r="N719" s="938"/>
    </row>
    <row r="720">
      <c r="A720" s="232"/>
      <c r="B720" s="232"/>
      <c r="K720" s="939"/>
      <c r="L720" s="938"/>
      <c r="M720" s="939"/>
      <c r="N720" s="938"/>
    </row>
    <row r="721">
      <c r="A721" s="232"/>
      <c r="B721" s="232"/>
      <c r="K721" s="939"/>
      <c r="L721" s="938"/>
      <c r="M721" s="939"/>
      <c r="N721" s="938"/>
    </row>
    <row r="722">
      <c r="A722" s="232"/>
      <c r="B722" s="232"/>
      <c r="K722" s="939"/>
      <c r="L722" s="938"/>
      <c r="M722" s="939"/>
      <c r="N722" s="938"/>
    </row>
    <row r="723">
      <c r="A723" s="232"/>
      <c r="B723" s="232"/>
      <c r="K723" s="939"/>
      <c r="L723" s="938"/>
      <c r="M723" s="939"/>
      <c r="N723" s="938"/>
    </row>
    <row r="724">
      <c r="A724" s="232"/>
      <c r="B724" s="232"/>
      <c r="K724" s="939"/>
      <c r="L724" s="938"/>
      <c r="M724" s="939"/>
      <c r="N724" s="938"/>
    </row>
    <row r="725">
      <c r="A725" s="232"/>
      <c r="B725" s="232"/>
      <c r="K725" s="939"/>
      <c r="L725" s="938"/>
      <c r="M725" s="939"/>
      <c r="N725" s="938"/>
    </row>
    <row r="726">
      <c r="A726" s="232"/>
      <c r="B726" s="232"/>
      <c r="K726" s="939"/>
      <c r="L726" s="938"/>
      <c r="M726" s="939"/>
      <c r="N726" s="938"/>
    </row>
    <row r="727">
      <c r="A727" s="232"/>
      <c r="B727" s="232"/>
      <c r="K727" s="939"/>
      <c r="L727" s="938"/>
      <c r="M727" s="939"/>
      <c r="N727" s="938"/>
    </row>
    <row r="728">
      <c r="A728" s="232"/>
      <c r="B728" s="232"/>
      <c r="K728" s="939"/>
      <c r="L728" s="938"/>
      <c r="M728" s="939"/>
      <c r="N728" s="938"/>
    </row>
    <row r="729">
      <c r="A729" s="232"/>
      <c r="B729" s="232"/>
      <c r="K729" s="939"/>
      <c r="L729" s="938"/>
      <c r="M729" s="939"/>
      <c r="N729" s="938"/>
    </row>
    <row r="730">
      <c r="A730" s="232"/>
      <c r="B730" s="232"/>
      <c r="K730" s="939"/>
      <c r="L730" s="938"/>
      <c r="M730" s="939"/>
      <c r="N730" s="938"/>
    </row>
    <row r="731">
      <c r="A731" s="232"/>
      <c r="B731" s="232"/>
      <c r="K731" s="939"/>
      <c r="L731" s="938"/>
      <c r="M731" s="939"/>
      <c r="N731" s="938"/>
    </row>
    <row r="732">
      <c r="A732" s="232"/>
      <c r="B732" s="232"/>
      <c r="K732" s="939"/>
      <c r="L732" s="938"/>
      <c r="M732" s="939"/>
      <c r="N732" s="938"/>
    </row>
    <row r="733">
      <c r="A733" s="232"/>
      <c r="B733" s="232"/>
      <c r="K733" s="939"/>
      <c r="L733" s="938"/>
      <c r="M733" s="939"/>
      <c r="N733" s="938"/>
    </row>
    <row r="734">
      <c r="A734" s="232"/>
      <c r="B734" s="232"/>
      <c r="K734" s="939"/>
      <c r="L734" s="938"/>
      <c r="M734" s="939"/>
      <c r="N734" s="938"/>
    </row>
    <row r="735">
      <c r="A735" s="232"/>
      <c r="B735" s="232"/>
      <c r="K735" s="939"/>
      <c r="L735" s="938"/>
      <c r="M735" s="939"/>
      <c r="N735" s="938"/>
    </row>
    <row r="736">
      <c r="A736" s="232"/>
      <c r="B736" s="232"/>
      <c r="K736" s="939"/>
      <c r="L736" s="938"/>
      <c r="M736" s="939"/>
      <c r="N736" s="938"/>
    </row>
    <row r="737">
      <c r="A737" s="232"/>
      <c r="B737" s="232"/>
      <c r="K737" s="939"/>
      <c r="L737" s="938"/>
      <c r="M737" s="939"/>
      <c r="N737" s="938"/>
    </row>
    <row r="738">
      <c r="A738" s="232"/>
      <c r="B738" s="232"/>
      <c r="K738" s="939"/>
      <c r="L738" s="938"/>
      <c r="M738" s="939"/>
      <c r="N738" s="938"/>
    </row>
    <row r="739">
      <c r="A739" s="232"/>
      <c r="B739" s="232"/>
      <c r="K739" s="939"/>
      <c r="L739" s="938"/>
      <c r="M739" s="939"/>
      <c r="N739" s="938"/>
    </row>
    <row r="740">
      <c r="A740" s="232"/>
      <c r="B740" s="232"/>
      <c r="K740" s="939"/>
      <c r="L740" s="938"/>
      <c r="M740" s="939"/>
      <c r="N740" s="938"/>
    </row>
    <row r="741">
      <c r="A741" s="232"/>
      <c r="B741" s="232"/>
      <c r="K741" s="939"/>
      <c r="L741" s="938"/>
      <c r="M741" s="939"/>
      <c r="N741" s="938"/>
    </row>
    <row r="742">
      <c r="A742" s="232"/>
      <c r="B742" s="232"/>
      <c r="K742" s="939"/>
      <c r="L742" s="938"/>
      <c r="M742" s="939"/>
      <c r="N742" s="938"/>
    </row>
    <row r="743">
      <c r="A743" s="232"/>
      <c r="B743" s="232"/>
      <c r="K743" s="939"/>
      <c r="L743" s="938"/>
      <c r="M743" s="939"/>
      <c r="N743" s="938"/>
    </row>
    <row r="744">
      <c r="A744" s="232"/>
      <c r="B744" s="232"/>
      <c r="K744" s="939"/>
      <c r="L744" s="938"/>
      <c r="M744" s="939"/>
      <c r="N744" s="938"/>
    </row>
    <row r="745">
      <c r="A745" s="232"/>
      <c r="B745" s="232"/>
      <c r="K745" s="939"/>
      <c r="L745" s="938"/>
      <c r="M745" s="939"/>
      <c r="N745" s="938"/>
    </row>
    <row r="746">
      <c r="A746" s="232"/>
      <c r="B746" s="232"/>
      <c r="K746" s="939"/>
      <c r="L746" s="938"/>
      <c r="M746" s="939"/>
      <c r="N746" s="938"/>
    </row>
    <row r="747">
      <c r="A747" s="232"/>
      <c r="B747" s="232"/>
      <c r="K747" s="939"/>
      <c r="L747" s="938"/>
      <c r="M747" s="939"/>
      <c r="N747" s="938"/>
    </row>
    <row r="748">
      <c r="A748" s="232"/>
      <c r="B748" s="232"/>
      <c r="K748" s="939"/>
      <c r="L748" s="938"/>
      <c r="M748" s="939"/>
      <c r="N748" s="938"/>
    </row>
    <row r="749">
      <c r="A749" s="232"/>
      <c r="B749" s="232"/>
      <c r="K749" s="939"/>
      <c r="L749" s="938"/>
      <c r="M749" s="939"/>
      <c r="N749" s="938"/>
    </row>
    <row r="750">
      <c r="A750" s="232"/>
      <c r="B750" s="232"/>
      <c r="K750" s="939"/>
      <c r="L750" s="938"/>
      <c r="M750" s="939"/>
      <c r="N750" s="938"/>
    </row>
    <row r="751">
      <c r="A751" s="232"/>
      <c r="B751" s="232"/>
      <c r="K751" s="939"/>
      <c r="L751" s="938"/>
      <c r="M751" s="939"/>
      <c r="N751" s="938"/>
    </row>
    <row r="752">
      <c r="A752" s="232"/>
      <c r="B752" s="232"/>
      <c r="K752" s="939"/>
      <c r="L752" s="938"/>
      <c r="M752" s="939"/>
      <c r="N752" s="938"/>
    </row>
    <row r="753">
      <c r="A753" s="232"/>
      <c r="B753" s="232"/>
      <c r="K753" s="939"/>
      <c r="L753" s="938"/>
      <c r="M753" s="939"/>
      <c r="N753" s="938"/>
    </row>
    <row r="754">
      <c r="A754" s="232"/>
      <c r="B754" s="232"/>
      <c r="K754" s="939"/>
      <c r="L754" s="938"/>
      <c r="M754" s="939"/>
      <c r="N754" s="938"/>
    </row>
    <row r="755">
      <c r="A755" s="232"/>
      <c r="B755" s="232"/>
      <c r="K755" s="939"/>
      <c r="L755" s="938"/>
      <c r="M755" s="939"/>
      <c r="N755" s="938"/>
    </row>
    <row r="756">
      <c r="A756" s="232"/>
      <c r="B756" s="232"/>
      <c r="K756" s="939"/>
      <c r="L756" s="938"/>
      <c r="M756" s="939"/>
      <c r="N756" s="938"/>
    </row>
    <row r="757">
      <c r="A757" s="232"/>
      <c r="B757" s="232"/>
      <c r="K757" s="939"/>
      <c r="L757" s="938"/>
      <c r="M757" s="939"/>
      <c r="N757" s="938"/>
    </row>
    <row r="758">
      <c r="A758" s="232"/>
      <c r="B758" s="232"/>
      <c r="K758" s="939"/>
      <c r="L758" s="938"/>
      <c r="M758" s="939"/>
      <c r="N758" s="938"/>
    </row>
    <row r="759">
      <c r="A759" s="232"/>
      <c r="B759" s="232"/>
      <c r="K759" s="939"/>
      <c r="L759" s="938"/>
      <c r="M759" s="939"/>
      <c r="N759" s="938"/>
    </row>
    <row r="760">
      <c r="A760" s="232"/>
      <c r="B760" s="232"/>
      <c r="K760" s="939"/>
      <c r="L760" s="938"/>
      <c r="M760" s="939"/>
      <c r="N760" s="938"/>
    </row>
    <row r="761">
      <c r="A761" s="232"/>
      <c r="B761" s="232"/>
      <c r="K761" s="939"/>
      <c r="L761" s="938"/>
      <c r="M761" s="939"/>
      <c r="N761" s="938"/>
    </row>
    <row r="762">
      <c r="A762" s="232"/>
      <c r="B762" s="232"/>
      <c r="K762" s="939"/>
      <c r="L762" s="938"/>
      <c r="M762" s="939"/>
      <c r="N762" s="938"/>
    </row>
    <row r="763">
      <c r="A763" s="232"/>
      <c r="B763" s="232"/>
      <c r="K763" s="939"/>
      <c r="L763" s="938"/>
      <c r="M763" s="939"/>
      <c r="N763" s="938"/>
    </row>
    <row r="764">
      <c r="A764" s="232"/>
      <c r="B764" s="232"/>
      <c r="K764" s="939"/>
      <c r="L764" s="938"/>
      <c r="M764" s="939"/>
      <c r="N764" s="938"/>
    </row>
    <row r="765">
      <c r="A765" s="232"/>
      <c r="B765" s="232"/>
      <c r="K765" s="939"/>
      <c r="L765" s="938"/>
      <c r="M765" s="939"/>
      <c r="N765" s="938"/>
    </row>
    <row r="766">
      <c r="A766" s="232"/>
      <c r="B766" s="232"/>
      <c r="K766" s="939"/>
      <c r="L766" s="938"/>
      <c r="M766" s="939"/>
      <c r="N766" s="938"/>
    </row>
    <row r="767">
      <c r="A767" s="232"/>
      <c r="B767" s="232"/>
      <c r="K767" s="939"/>
      <c r="L767" s="938"/>
      <c r="M767" s="939"/>
      <c r="N767" s="938"/>
    </row>
    <row r="768">
      <c r="A768" s="232"/>
      <c r="B768" s="232"/>
      <c r="K768" s="939"/>
      <c r="L768" s="938"/>
      <c r="M768" s="939"/>
      <c r="N768" s="938"/>
    </row>
    <row r="769">
      <c r="A769" s="232"/>
      <c r="B769" s="232"/>
      <c r="K769" s="939"/>
      <c r="L769" s="938"/>
      <c r="M769" s="939"/>
      <c r="N769" s="938"/>
    </row>
    <row r="770">
      <c r="A770" s="232"/>
      <c r="B770" s="232"/>
      <c r="K770" s="939"/>
      <c r="L770" s="938"/>
      <c r="M770" s="939"/>
      <c r="N770" s="938"/>
    </row>
    <row r="771">
      <c r="A771" s="232"/>
      <c r="B771" s="232"/>
      <c r="K771" s="939"/>
      <c r="L771" s="938"/>
      <c r="M771" s="939"/>
      <c r="N771" s="938"/>
    </row>
    <row r="772">
      <c r="A772" s="232"/>
      <c r="B772" s="232"/>
      <c r="K772" s="939"/>
      <c r="L772" s="938"/>
      <c r="M772" s="939"/>
      <c r="N772" s="938"/>
    </row>
    <row r="773">
      <c r="A773" s="232"/>
      <c r="B773" s="232"/>
      <c r="K773" s="939"/>
      <c r="L773" s="938"/>
      <c r="M773" s="939"/>
      <c r="N773" s="938"/>
    </row>
    <row r="774">
      <c r="A774" s="232"/>
      <c r="B774" s="232"/>
      <c r="K774" s="939"/>
      <c r="L774" s="938"/>
      <c r="M774" s="939"/>
      <c r="N774" s="938"/>
    </row>
    <row r="775">
      <c r="A775" s="232"/>
      <c r="B775" s="232"/>
      <c r="K775" s="939"/>
      <c r="L775" s="938"/>
      <c r="M775" s="939"/>
      <c r="N775" s="938"/>
    </row>
    <row r="776">
      <c r="A776" s="232"/>
      <c r="B776" s="232"/>
      <c r="K776" s="939"/>
      <c r="L776" s="938"/>
      <c r="M776" s="939"/>
      <c r="N776" s="938"/>
    </row>
    <row r="777">
      <c r="A777" s="232"/>
      <c r="B777" s="232"/>
      <c r="K777" s="939"/>
      <c r="L777" s="938"/>
      <c r="M777" s="939"/>
      <c r="N777" s="938"/>
    </row>
    <row r="778">
      <c r="A778" s="232"/>
      <c r="B778" s="232"/>
      <c r="K778" s="939"/>
      <c r="L778" s="938"/>
      <c r="M778" s="939"/>
      <c r="N778" s="938"/>
    </row>
    <row r="779">
      <c r="A779" s="232"/>
      <c r="B779" s="232"/>
      <c r="K779" s="939"/>
      <c r="L779" s="938"/>
      <c r="M779" s="939"/>
      <c r="N779" s="938"/>
    </row>
    <row r="780">
      <c r="A780" s="232"/>
      <c r="B780" s="232"/>
      <c r="K780" s="939"/>
      <c r="L780" s="938"/>
      <c r="M780" s="939"/>
      <c r="N780" s="938"/>
    </row>
    <row r="781">
      <c r="A781" s="232"/>
      <c r="B781" s="232"/>
      <c r="K781" s="939"/>
      <c r="L781" s="938"/>
      <c r="M781" s="939"/>
      <c r="N781" s="938"/>
    </row>
    <row r="782">
      <c r="A782" s="232"/>
      <c r="B782" s="232"/>
      <c r="K782" s="939"/>
      <c r="L782" s="938"/>
      <c r="M782" s="939"/>
      <c r="N782" s="938"/>
    </row>
    <row r="783">
      <c r="A783" s="232"/>
      <c r="B783" s="232"/>
      <c r="K783" s="939"/>
      <c r="L783" s="938"/>
      <c r="M783" s="939"/>
      <c r="N783" s="938"/>
    </row>
    <row r="784">
      <c r="A784" s="232"/>
      <c r="B784" s="232"/>
      <c r="K784" s="939"/>
      <c r="L784" s="938"/>
      <c r="M784" s="939"/>
      <c r="N784" s="938"/>
    </row>
    <row r="785">
      <c r="A785" s="232"/>
      <c r="B785" s="232"/>
      <c r="K785" s="939"/>
      <c r="L785" s="938"/>
      <c r="M785" s="939"/>
      <c r="N785" s="938"/>
    </row>
    <row r="786">
      <c r="A786" s="232"/>
      <c r="B786" s="232"/>
      <c r="K786" s="939"/>
      <c r="L786" s="938"/>
      <c r="M786" s="939"/>
      <c r="N786" s="938"/>
    </row>
    <row r="787">
      <c r="A787" s="232"/>
      <c r="B787" s="232"/>
      <c r="K787" s="939"/>
      <c r="L787" s="938"/>
      <c r="M787" s="939"/>
      <c r="N787" s="938"/>
    </row>
    <row r="788">
      <c r="A788" s="232"/>
      <c r="B788" s="232"/>
      <c r="K788" s="939"/>
      <c r="L788" s="938"/>
      <c r="M788" s="939"/>
      <c r="N788" s="938"/>
    </row>
    <row r="789">
      <c r="A789" s="232"/>
      <c r="B789" s="232"/>
      <c r="K789" s="939"/>
      <c r="L789" s="938"/>
      <c r="M789" s="939"/>
      <c r="N789" s="938"/>
    </row>
    <row r="790">
      <c r="A790" s="232"/>
      <c r="B790" s="232"/>
      <c r="K790" s="939"/>
      <c r="L790" s="938"/>
      <c r="M790" s="939"/>
      <c r="N790" s="938"/>
    </row>
    <row r="791">
      <c r="A791" s="232"/>
      <c r="B791" s="232"/>
      <c r="K791" s="939"/>
      <c r="L791" s="938"/>
      <c r="M791" s="939"/>
      <c r="N791" s="938"/>
    </row>
    <row r="792">
      <c r="A792" s="232"/>
      <c r="B792" s="232"/>
      <c r="K792" s="939"/>
      <c r="L792" s="938"/>
      <c r="M792" s="939"/>
      <c r="N792" s="938"/>
    </row>
    <row r="793">
      <c r="A793" s="232"/>
      <c r="B793" s="232"/>
      <c r="K793" s="939"/>
      <c r="L793" s="938"/>
      <c r="M793" s="939"/>
      <c r="N793" s="938"/>
    </row>
    <row r="794">
      <c r="A794" s="232"/>
      <c r="B794" s="232"/>
      <c r="K794" s="939"/>
      <c r="L794" s="938"/>
      <c r="M794" s="939"/>
      <c r="N794" s="938"/>
    </row>
    <row r="795">
      <c r="A795" s="232"/>
      <c r="B795" s="232"/>
      <c r="K795" s="939"/>
      <c r="L795" s="938"/>
      <c r="M795" s="939"/>
      <c r="N795" s="938"/>
    </row>
    <row r="796">
      <c r="A796" s="232"/>
      <c r="B796" s="232"/>
      <c r="K796" s="939"/>
      <c r="L796" s="938"/>
      <c r="M796" s="939"/>
      <c r="N796" s="938"/>
    </row>
    <row r="797">
      <c r="A797" s="232"/>
      <c r="B797" s="232"/>
      <c r="K797" s="939"/>
      <c r="L797" s="938"/>
      <c r="M797" s="939"/>
      <c r="N797" s="938"/>
    </row>
    <row r="798">
      <c r="A798" s="232"/>
      <c r="B798" s="232"/>
      <c r="K798" s="939"/>
      <c r="L798" s="938"/>
      <c r="M798" s="939"/>
      <c r="N798" s="938"/>
    </row>
    <row r="799">
      <c r="A799" s="232"/>
      <c r="B799" s="232"/>
      <c r="K799" s="939"/>
      <c r="L799" s="938"/>
      <c r="M799" s="939"/>
      <c r="N799" s="938"/>
    </row>
    <row r="800">
      <c r="A800" s="232"/>
      <c r="B800" s="232"/>
      <c r="K800" s="939"/>
      <c r="L800" s="938"/>
      <c r="M800" s="939"/>
      <c r="N800" s="938"/>
    </row>
    <row r="801">
      <c r="A801" s="232"/>
      <c r="B801" s="232"/>
      <c r="K801" s="939"/>
      <c r="L801" s="938"/>
      <c r="M801" s="939"/>
      <c r="N801" s="938"/>
    </row>
    <row r="802">
      <c r="A802" s="232"/>
      <c r="B802" s="232"/>
      <c r="K802" s="939"/>
      <c r="L802" s="938"/>
      <c r="M802" s="939"/>
      <c r="N802" s="938"/>
    </row>
    <row r="803">
      <c r="A803" s="232"/>
      <c r="B803" s="232"/>
      <c r="K803" s="939"/>
      <c r="L803" s="938"/>
      <c r="M803" s="939"/>
      <c r="N803" s="938"/>
    </row>
    <row r="804">
      <c r="A804" s="232"/>
      <c r="B804" s="232"/>
      <c r="K804" s="939"/>
      <c r="L804" s="938"/>
      <c r="M804" s="939"/>
      <c r="N804" s="938"/>
    </row>
    <row r="805">
      <c r="A805" s="232"/>
      <c r="B805" s="232"/>
      <c r="K805" s="939"/>
      <c r="L805" s="938"/>
      <c r="M805" s="939"/>
      <c r="N805" s="938"/>
    </row>
    <row r="806">
      <c r="A806" s="232"/>
      <c r="B806" s="232"/>
      <c r="K806" s="939"/>
      <c r="L806" s="938"/>
      <c r="M806" s="939"/>
      <c r="N806" s="938"/>
    </row>
    <row r="807">
      <c r="A807" s="232"/>
      <c r="B807" s="232"/>
      <c r="K807" s="939"/>
      <c r="L807" s="938"/>
      <c r="M807" s="939"/>
      <c r="N807" s="938"/>
    </row>
    <row r="808">
      <c r="A808" s="232"/>
      <c r="B808" s="232"/>
      <c r="K808" s="939"/>
      <c r="L808" s="938"/>
      <c r="M808" s="939"/>
      <c r="N808" s="938"/>
    </row>
    <row r="809">
      <c r="A809" s="232"/>
      <c r="B809" s="232"/>
      <c r="K809" s="939"/>
      <c r="L809" s="938"/>
      <c r="M809" s="939"/>
      <c r="N809" s="938"/>
    </row>
    <row r="810">
      <c r="A810" s="232"/>
      <c r="B810" s="232"/>
      <c r="K810" s="939"/>
      <c r="L810" s="938"/>
      <c r="M810" s="939"/>
      <c r="N810" s="938"/>
    </row>
    <row r="811">
      <c r="A811" s="232"/>
      <c r="B811" s="232"/>
      <c r="K811" s="939"/>
      <c r="L811" s="938"/>
      <c r="M811" s="939"/>
      <c r="N811" s="938"/>
    </row>
    <row r="812">
      <c r="A812" s="232"/>
      <c r="B812" s="232"/>
      <c r="K812" s="939"/>
      <c r="L812" s="938"/>
      <c r="M812" s="939"/>
      <c r="N812" s="938"/>
    </row>
    <row r="813">
      <c r="A813" s="232"/>
      <c r="B813" s="232"/>
      <c r="K813" s="939"/>
      <c r="L813" s="938"/>
      <c r="M813" s="939"/>
      <c r="N813" s="938"/>
    </row>
    <row r="814">
      <c r="A814" s="232"/>
      <c r="B814" s="232"/>
      <c r="K814" s="939"/>
      <c r="L814" s="938"/>
      <c r="M814" s="939"/>
      <c r="N814" s="938"/>
    </row>
    <row r="815">
      <c r="A815" s="232"/>
      <c r="B815" s="232"/>
      <c r="K815" s="939"/>
      <c r="L815" s="938"/>
      <c r="M815" s="939"/>
      <c r="N815" s="938"/>
    </row>
    <row r="816">
      <c r="A816" s="232"/>
      <c r="B816" s="232"/>
      <c r="K816" s="939"/>
      <c r="L816" s="938"/>
      <c r="M816" s="939"/>
      <c r="N816" s="938"/>
    </row>
    <row r="817">
      <c r="A817" s="232"/>
      <c r="B817" s="232"/>
      <c r="K817" s="939"/>
      <c r="L817" s="938"/>
      <c r="M817" s="939"/>
      <c r="N817" s="938"/>
    </row>
    <row r="818">
      <c r="A818" s="232"/>
      <c r="B818" s="232"/>
      <c r="K818" s="939"/>
      <c r="L818" s="938"/>
      <c r="M818" s="939"/>
      <c r="N818" s="938"/>
    </row>
    <row r="819">
      <c r="A819" s="232"/>
      <c r="B819" s="232"/>
      <c r="K819" s="939"/>
      <c r="L819" s="938"/>
      <c r="M819" s="939"/>
      <c r="N819" s="938"/>
    </row>
    <row r="820">
      <c r="A820" s="232"/>
      <c r="B820" s="232"/>
      <c r="K820" s="939"/>
      <c r="L820" s="938"/>
      <c r="M820" s="939"/>
      <c r="N820" s="938"/>
    </row>
    <row r="821">
      <c r="A821" s="232"/>
      <c r="B821" s="232"/>
      <c r="K821" s="939"/>
      <c r="L821" s="938"/>
      <c r="M821" s="939"/>
      <c r="N821" s="938"/>
    </row>
    <row r="822">
      <c r="A822" s="232"/>
      <c r="B822" s="232"/>
      <c r="K822" s="939"/>
      <c r="L822" s="938"/>
      <c r="M822" s="939"/>
      <c r="N822" s="938"/>
    </row>
    <row r="823">
      <c r="A823" s="232"/>
      <c r="B823" s="232"/>
      <c r="K823" s="939"/>
      <c r="L823" s="938"/>
      <c r="M823" s="939"/>
      <c r="N823" s="938"/>
    </row>
    <row r="824">
      <c r="A824" s="232"/>
      <c r="B824" s="232"/>
      <c r="K824" s="939"/>
      <c r="L824" s="938"/>
      <c r="M824" s="939"/>
      <c r="N824" s="938"/>
    </row>
    <row r="825">
      <c r="A825" s="232"/>
      <c r="B825" s="232"/>
      <c r="K825" s="939"/>
      <c r="L825" s="938"/>
      <c r="M825" s="939"/>
      <c r="N825" s="938"/>
    </row>
    <row r="826">
      <c r="A826" s="232"/>
      <c r="B826" s="232"/>
      <c r="K826" s="939"/>
      <c r="L826" s="938"/>
      <c r="M826" s="939"/>
      <c r="N826" s="938"/>
    </row>
    <row r="827">
      <c r="A827" s="232"/>
      <c r="B827" s="232"/>
      <c r="K827" s="939"/>
      <c r="L827" s="938"/>
      <c r="M827" s="939"/>
      <c r="N827" s="938"/>
    </row>
    <row r="828">
      <c r="A828" s="232"/>
      <c r="B828" s="232"/>
      <c r="K828" s="939"/>
      <c r="L828" s="938"/>
      <c r="M828" s="939"/>
      <c r="N828" s="938"/>
    </row>
    <row r="829">
      <c r="A829" s="232"/>
      <c r="B829" s="232"/>
      <c r="K829" s="939"/>
      <c r="L829" s="938"/>
      <c r="M829" s="939"/>
      <c r="N829" s="938"/>
    </row>
    <row r="830">
      <c r="A830" s="232"/>
      <c r="B830" s="232"/>
      <c r="K830" s="939"/>
      <c r="L830" s="938"/>
      <c r="M830" s="939"/>
      <c r="N830" s="938"/>
    </row>
    <row r="831">
      <c r="A831" s="232"/>
      <c r="B831" s="232"/>
      <c r="K831" s="939"/>
      <c r="L831" s="938"/>
      <c r="M831" s="939"/>
      <c r="N831" s="938"/>
    </row>
    <row r="832">
      <c r="A832" s="232"/>
      <c r="B832" s="232"/>
      <c r="K832" s="939"/>
      <c r="L832" s="938"/>
      <c r="M832" s="939"/>
      <c r="N832" s="938"/>
    </row>
    <row r="833">
      <c r="A833" s="232"/>
      <c r="B833" s="232"/>
      <c r="K833" s="939"/>
      <c r="L833" s="938"/>
      <c r="M833" s="939"/>
      <c r="N833" s="938"/>
    </row>
    <row r="834">
      <c r="A834" s="232"/>
      <c r="B834" s="232"/>
      <c r="K834" s="939"/>
      <c r="L834" s="938"/>
      <c r="M834" s="939"/>
      <c r="N834" s="938"/>
    </row>
    <row r="835">
      <c r="A835" s="232"/>
      <c r="B835" s="232"/>
      <c r="K835" s="939"/>
      <c r="L835" s="938"/>
      <c r="M835" s="939"/>
      <c r="N835" s="938"/>
    </row>
    <row r="836">
      <c r="A836" s="232"/>
      <c r="B836" s="232"/>
      <c r="K836" s="939"/>
      <c r="L836" s="938"/>
      <c r="M836" s="939"/>
      <c r="N836" s="938"/>
    </row>
    <row r="837">
      <c r="A837" s="232"/>
      <c r="B837" s="232"/>
      <c r="K837" s="939"/>
      <c r="L837" s="938"/>
      <c r="M837" s="939"/>
      <c r="N837" s="938"/>
    </row>
    <row r="838">
      <c r="A838" s="232"/>
      <c r="B838" s="232"/>
      <c r="K838" s="939"/>
      <c r="L838" s="938"/>
      <c r="M838" s="939"/>
      <c r="N838" s="938"/>
    </row>
    <row r="839">
      <c r="A839" s="232"/>
      <c r="B839" s="232"/>
      <c r="K839" s="939"/>
      <c r="L839" s="938"/>
      <c r="M839" s="939"/>
      <c r="N839" s="938"/>
    </row>
    <row r="840">
      <c r="A840" s="232"/>
      <c r="B840" s="232"/>
      <c r="K840" s="939"/>
      <c r="L840" s="938"/>
      <c r="M840" s="939"/>
      <c r="N840" s="938"/>
    </row>
    <row r="841">
      <c r="A841" s="232"/>
      <c r="B841" s="232"/>
      <c r="K841" s="939"/>
      <c r="L841" s="938"/>
      <c r="M841" s="939"/>
      <c r="N841" s="938"/>
    </row>
    <row r="842">
      <c r="A842" s="232"/>
      <c r="B842" s="232"/>
      <c r="K842" s="939"/>
      <c r="L842" s="938"/>
      <c r="M842" s="939"/>
      <c r="N842" s="938"/>
    </row>
    <row r="843">
      <c r="A843" s="232"/>
      <c r="B843" s="232"/>
      <c r="K843" s="939"/>
      <c r="L843" s="938"/>
      <c r="M843" s="939"/>
      <c r="N843" s="938"/>
    </row>
    <row r="844">
      <c r="A844" s="232"/>
      <c r="B844" s="232"/>
      <c r="K844" s="939"/>
      <c r="L844" s="938"/>
      <c r="M844" s="939"/>
      <c r="N844" s="938"/>
    </row>
    <row r="845">
      <c r="A845" s="232"/>
      <c r="B845" s="232"/>
      <c r="K845" s="939"/>
      <c r="L845" s="938"/>
      <c r="M845" s="939"/>
      <c r="N845" s="938"/>
    </row>
    <row r="846">
      <c r="A846" s="232"/>
      <c r="B846" s="232"/>
      <c r="K846" s="939"/>
      <c r="L846" s="938"/>
      <c r="M846" s="939"/>
      <c r="N846" s="938"/>
    </row>
    <row r="847">
      <c r="A847" s="232"/>
      <c r="B847" s="232"/>
      <c r="K847" s="939"/>
      <c r="L847" s="938"/>
      <c r="M847" s="939"/>
      <c r="N847" s="938"/>
    </row>
    <row r="848">
      <c r="A848" s="232"/>
      <c r="B848" s="232"/>
      <c r="K848" s="939"/>
      <c r="L848" s="938"/>
      <c r="M848" s="939"/>
      <c r="N848" s="938"/>
    </row>
    <row r="849">
      <c r="A849" s="232"/>
      <c r="B849" s="232"/>
      <c r="K849" s="939"/>
      <c r="L849" s="938"/>
      <c r="M849" s="939"/>
      <c r="N849" s="938"/>
    </row>
    <row r="850">
      <c r="A850" s="232"/>
      <c r="B850" s="232"/>
      <c r="K850" s="939"/>
      <c r="L850" s="938"/>
      <c r="M850" s="939"/>
      <c r="N850" s="938"/>
    </row>
    <row r="851">
      <c r="A851" s="232"/>
      <c r="B851" s="232"/>
      <c r="K851" s="939"/>
      <c r="L851" s="938"/>
      <c r="M851" s="939"/>
      <c r="N851" s="938"/>
    </row>
    <row r="852">
      <c r="A852" s="232"/>
      <c r="B852" s="232"/>
      <c r="K852" s="939"/>
      <c r="L852" s="938"/>
      <c r="M852" s="939"/>
      <c r="N852" s="938"/>
    </row>
    <row r="853">
      <c r="A853" s="232"/>
      <c r="B853" s="232"/>
      <c r="K853" s="939"/>
      <c r="L853" s="938"/>
      <c r="M853" s="939"/>
      <c r="N853" s="938"/>
    </row>
    <row r="854">
      <c r="A854" s="232"/>
      <c r="B854" s="232"/>
      <c r="K854" s="939"/>
      <c r="L854" s="938"/>
      <c r="M854" s="939"/>
      <c r="N854" s="938"/>
    </row>
    <row r="855">
      <c r="A855" s="232"/>
      <c r="B855" s="232"/>
      <c r="K855" s="939"/>
      <c r="L855" s="938"/>
      <c r="M855" s="939"/>
      <c r="N855" s="938"/>
    </row>
    <row r="856">
      <c r="A856" s="232"/>
      <c r="B856" s="232"/>
      <c r="K856" s="939"/>
      <c r="L856" s="938"/>
      <c r="M856" s="939"/>
      <c r="N856" s="938"/>
    </row>
    <row r="857">
      <c r="A857" s="232"/>
      <c r="B857" s="232"/>
      <c r="K857" s="939"/>
      <c r="L857" s="938"/>
      <c r="M857" s="939"/>
      <c r="N857" s="938"/>
    </row>
    <row r="858">
      <c r="A858" s="232"/>
      <c r="B858" s="232"/>
      <c r="K858" s="939"/>
      <c r="L858" s="938"/>
      <c r="M858" s="939"/>
      <c r="N858" s="938"/>
    </row>
    <row r="859">
      <c r="A859" s="232"/>
      <c r="B859" s="232"/>
      <c r="K859" s="939"/>
      <c r="L859" s="938"/>
      <c r="M859" s="939"/>
      <c r="N859" s="938"/>
    </row>
    <row r="860">
      <c r="A860" s="232"/>
      <c r="B860" s="232"/>
      <c r="K860" s="939"/>
      <c r="L860" s="938"/>
      <c r="M860" s="939"/>
      <c r="N860" s="938"/>
    </row>
    <row r="861">
      <c r="A861" s="232"/>
      <c r="B861" s="232"/>
      <c r="K861" s="939"/>
      <c r="L861" s="938"/>
      <c r="M861" s="939"/>
      <c r="N861" s="938"/>
    </row>
    <row r="862">
      <c r="A862" s="232"/>
      <c r="B862" s="232"/>
      <c r="K862" s="939"/>
      <c r="L862" s="938"/>
      <c r="M862" s="939"/>
      <c r="N862" s="938"/>
    </row>
    <row r="863">
      <c r="A863" s="232"/>
      <c r="B863" s="232"/>
      <c r="K863" s="939"/>
      <c r="L863" s="938"/>
      <c r="M863" s="939"/>
      <c r="N863" s="938"/>
    </row>
    <row r="864">
      <c r="A864" s="232"/>
      <c r="B864" s="232"/>
      <c r="K864" s="939"/>
      <c r="L864" s="938"/>
      <c r="M864" s="939"/>
      <c r="N864" s="938"/>
    </row>
    <row r="865">
      <c r="A865" s="232"/>
      <c r="B865" s="232"/>
      <c r="K865" s="939"/>
      <c r="L865" s="938"/>
      <c r="M865" s="939"/>
      <c r="N865" s="938"/>
    </row>
    <row r="866">
      <c r="A866" s="232"/>
      <c r="B866" s="232"/>
      <c r="K866" s="939"/>
      <c r="L866" s="938"/>
      <c r="M866" s="939"/>
      <c r="N866" s="938"/>
    </row>
    <row r="867">
      <c r="A867" s="232"/>
      <c r="B867" s="232"/>
      <c r="K867" s="939"/>
      <c r="L867" s="938"/>
      <c r="M867" s="939"/>
      <c r="N867" s="938"/>
    </row>
    <row r="868">
      <c r="A868" s="232"/>
      <c r="B868" s="232"/>
      <c r="K868" s="939"/>
      <c r="L868" s="938"/>
      <c r="M868" s="939"/>
      <c r="N868" s="938"/>
    </row>
    <row r="869">
      <c r="A869" s="232"/>
      <c r="B869" s="232"/>
      <c r="K869" s="939"/>
      <c r="L869" s="938"/>
      <c r="M869" s="939"/>
      <c r="N869" s="938"/>
    </row>
    <row r="870">
      <c r="A870" s="232"/>
      <c r="B870" s="232"/>
      <c r="K870" s="939"/>
      <c r="L870" s="938"/>
      <c r="M870" s="939"/>
      <c r="N870" s="938"/>
    </row>
    <row r="871">
      <c r="A871" s="232"/>
      <c r="B871" s="232"/>
      <c r="K871" s="939"/>
      <c r="L871" s="938"/>
      <c r="M871" s="939"/>
      <c r="N871" s="938"/>
    </row>
    <row r="872">
      <c r="A872" s="232"/>
      <c r="B872" s="232"/>
      <c r="K872" s="939"/>
      <c r="L872" s="938"/>
      <c r="M872" s="939"/>
      <c r="N872" s="938"/>
    </row>
    <row r="873">
      <c r="A873" s="232"/>
      <c r="B873" s="232"/>
      <c r="K873" s="939"/>
      <c r="L873" s="938"/>
      <c r="M873" s="939"/>
      <c r="N873" s="938"/>
    </row>
    <row r="874">
      <c r="A874" s="232"/>
      <c r="B874" s="232"/>
      <c r="K874" s="939"/>
      <c r="L874" s="938"/>
      <c r="M874" s="939"/>
      <c r="N874" s="938"/>
    </row>
    <row r="875">
      <c r="A875" s="232"/>
      <c r="B875" s="232"/>
      <c r="K875" s="939"/>
      <c r="L875" s="938"/>
      <c r="M875" s="939"/>
      <c r="N875" s="938"/>
    </row>
    <row r="876">
      <c r="A876" s="232"/>
      <c r="B876" s="232"/>
      <c r="K876" s="939"/>
      <c r="L876" s="938"/>
      <c r="M876" s="939"/>
      <c r="N876" s="938"/>
    </row>
    <row r="877">
      <c r="A877" s="232"/>
      <c r="B877" s="232"/>
      <c r="K877" s="939"/>
      <c r="L877" s="938"/>
      <c r="M877" s="939"/>
      <c r="N877" s="938"/>
    </row>
    <row r="878">
      <c r="A878" s="232"/>
      <c r="B878" s="232"/>
      <c r="K878" s="939"/>
      <c r="L878" s="938"/>
      <c r="M878" s="939"/>
      <c r="N878" s="938"/>
    </row>
    <row r="879">
      <c r="A879" s="232"/>
      <c r="B879" s="232"/>
      <c r="K879" s="939"/>
      <c r="L879" s="938"/>
      <c r="M879" s="939"/>
      <c r="N879" s="938"/>
    </row>
    <row r="880">
      <c r="A880" s="232"/>
      <c r="B880" s="232"/>
      <c r="K880" s="939"/>
      <c r="L880" s="938"/>
      <c r="M880" s="939"/>
      <c r="N880" s="938"/>
    </row>
    <row r="881">
      <c r="A881" s="232"/>
      <c r="B881" s="232"/>
      <c r="K881" s="939"/>
      <c r="L881" s="938"/>
      <c r="M881" s="939"/>
      <c r="N881" s="938"/>
    </row>
    <row r="882">
      <c r="A882" s="232"/>
      <c r="B882" s="232"/>
      <c r="K882" s="939"/>
      <c r="L882" s="938"/>
      <c r="M882" s="939"/>
      <c r="N882" s="938"/>
    </row>
    <row r="883">
      <c r="A883" s="232"/>
      <c r="B883" s="232"/>
      <c r="K883" s="939"/>
      <c r="L883" s="938"/>
      <c r="M883" s="939"/>
      <c r="N883" s="938"/>
    </row>
    <row r="884">
      <c r="A884" s="232"/>
      <c r="B884" s="232"/>
      <c r="K884" s="939"/>
      <c r="L884" s="938"/>
      <c r="M884" s="939"/>
      <c r="N884" s="938"/>
    </row>
    <row r="885">
      <c r="A885" s="232"/>
      <c r="B885" s="232"/>
      <c r="K885" s="939"/>
      <c r="L885" s="938"/>
      <c r="M885" s="939"/>
      <c r="N885" s="938"/>
    </row>
    <row r="886">
      <c r="A886" s="232"/>
      <c r="B886" s="232"/>
      <c r="K886" s="939"/>
      <c r="L886" s="938"/>
      <c r="M886" s="939"/>
      <c r="N886" s="938"/>
    </row>
    <row r="887">
      <c r="A887" s="232"/>
      <c r="B887" s="232"/>
      <c r="K887" s="939"/>
      <c r="L887" s="938"/>
      <c r="M887" s="939"/>
      <c r="N887" s="938"/>
    </row>
    <row r="888">
      <c r="A888" s="232"/>
      <c r="B888" s="232"/>
      <c r="K888" s="939"/>
      <c r="L888" s="938"/>
      <c r="M888" s="939"/>
      <c r="N888" s="938"/>
    </row>
    <row r="889">
      <c r="A889" s="232"/>
      <c r="B889" s="232"/>
      <c r="K889" s="939"/>
      <c r="L889" s="938"/>
      <c r="M889" s="939"/>
      <c r="N889" s="938"/>
    </row>
    <row r="890">
      <c r="A890" s="232"/>
      <c r="B890" s="232"/>
      <c r="K890" s="939"/>
      <c r="L890" s="938"/>
      <c r="M890" s="939"/>
      <c r="N890" s="938"/>
    </row>
    <row r="891">
      <c r="A891" s="232"/>
      <c r="B891" s="232"/>
      <c r="K891" s="939"/>
      <c r="L891" s="938"/>
      <c r="M891" s="939"/>
      <c r="N891" s="938"/>
    </row>
    <row r="892">
      <c r="A892" s="232"/>
      <c r="B892" s="232"/>
      <c r="K892" s="939"/>
      <c r="L892" s="938"/>
      <c r="M892" s="939"/>
      <c r="N892" s="938"/>
    </row>
    <row r="893">
      <c r="A893" s="232"/>
      <c r="B893" s="232"/>
      <c r="K893" s="939"/>
      <c r="L893" s="938"/>
      <c r="M893" s="939"/>
      <c r="N893" s="938"/>
    </row>
    <row r="894">
      <c r="A894" s="232"/>
      <c r="B894" s="232"/>
      <c r="K894" s="939"/>
      <c r="L894" s="938"/>
      <c r="M894" s="939"/>
      <c r="N894" s="938"/>
    </row>
    <row r="895">
      <c r="A895" s="232"/>
      <c r="B895" s="232"/>
      <c r="K895" s="939"/>
      <c r="L895" s="938"/>
      <c r="M895" s="939"/>
      <c r="N895" s="938"/>
    </row>
    <row r="896">
      <c r="A896" s="232"/>
      <c r="B896" s="232"/>
      <c r="K896" s="939"/>
      <c r="L896" s="938"/>
      <c r="M896" s="939"/>
      <c r="N896" s="938"/>
    </row>
    <row r="897">
      <c r="A897" s="232"/>
      <c r="B897" s="232"/>
      <c r="K897" s="939"/>
      <c r="L897" s="938"/>
      <c r="M897" s="939"/>
      <c r="N897" s="938"/>
    </row>
    <row r="898">
      <c r="A898" s="232"/>
      <c r="B898" s="232"/>
      <c r="K898" s="939"/>
      <c r="L898" s="938"/>
      <c r="M898" s="939"/>
      <c r="N898" s="938"/>
    </row>
    <row r="899">
      <c r="A899" s="232"/>
      <c r="B899" s="232"/>
      <c r="K899" s="939"/>
      <c r="L899" s="938"/>
      <c r="M899" s="939"/>
      <c r="N899" s="938"/>
    </row>
    <row r="900">
      <c r="A900" s="232"/>
      <c r="B900" s="232"/>
      <c r="K900" s="939"/>
      <c r="L900" s="938"/>
      <c r="M900" s="939"/>
      <c r="N900" s="938"/>
    </row>
    <row r="901">
      <c r="A901" s="232"/>
      <c r="B901" s="232"/>
      <c r="K901" s="939"/>
      <c r="L901" s="938"/>
      <c r="M901" s="939"/>
      <c r="N901" s="938"/>
    </row>
    <row r="902">
      <c r="A902" s="232"/>
      <c r="B902" s="232"/>
      <c r="K902" s="939"/>
      <c r="L902" s="938"/>
      <c r="M902" s="939"/>
      <c r="N902" s="938"/>
    </row>
    <row r="903">
      <c r="A903" s="232"/>
      <c r="B903" s="232"/>
      <c r="K903" s="939"/>
      <c r="L903" s="938"/>
      <c r="M903" s="939"/>
      <c r="N903" s="938"/>
    </row>
    <row r="904">
      <c r="A904" s="232"/>
      <c r="B904" s="232"/>
      <c r="K904" s="939"/>
      <c r="L904" s="938"/>
      <c r="M904" s="939"/>
      <c r="N904" s="938"/>
    </row>
    <row r="905">
      <c r="A905" s="232"/>
      <c r="B905" s="232"/>
      <c r="K905" s="939"/>
      <c r="L905" s="938"/>
      <c r="M905" s="939"/>
      <c r="N905" s="938"/>
    </row>
    <row r="906">
      <c r="A906" s="232"/>
      <c r="B906" s="232"/>
      <c r="K906" s="939"/>
      <c r="L906" s="938"/>
      <c r="M906" s="939"/>
      <c r="N906" s="938"/>
    </row>
    <row r="907">
      <c r="A907" s="232"/>
      <c r="B907" s="232"/>
      <c r="K907" s="939"/>
      <c r="L907" s="938"/>
      <c r="M907" s="939"/>
      <c r="N907" s="938"/>
    </row>
    <row r="908">
      <c r="A908" s="232"/>
      <c r="B908" s="232"/>
      <c r="K908" s="939"/>
      <c r="L908" s="938"/>
      <c r="M908" s="939"/>
      <c r="N908" s="938"/>
    </row>
    <row r="909">
      <c r="A909" s="232"/>
      <c r="B909" s="232"/>
      <c r="K909" s="939"/>
      <c r="L909" s="938"/>
      <c r="M909" s="939"/>
      <c r="N909" s="938"/>
    </row>
    <row r="910">
      <c r="A910" s="232"/>
      <c r="B910" s="232"/>
      <c r="K910" s="939"/>
      <c r="L910" s="938"/>
      <c r="M910" s="939"/>
      <c r="N910" s="938"/>
    </row>
    <row r="911">
      <c r="A911" s="232"/>
      <c r="B911" s="232"/>
      <c r="K911" s="939"/>
      <c r="L911" s="938"/>
      <c r="M911" s="939"/>
      <c r="N911" s="938"/>
    </row>
    <row r="912">
      <c r="A912" s="232"/>
      <c r="B912" s="232"/>
      <c r="K912" s="939"/>
      <c r="L912" s="938"/>
      <c r="M912" s="939"/>
      <c r="N912" s="938"/>
    </row>
    <row r="913">
      <c r="A913" s="232"/>
      <c r="B913" s="232"/>
      <c r="K913" s="939"/>
      <c r="L913" s="938"/>
      <c r="M913" s="939"/>
      <c r="N913" s="938"/>
    </row>
    <row r="914">
      <c r="A914" s="232"/>
      <c r="B914" s="232"/>
      <c r="K914" s="939"/>
      <c r="L914" s="938"/>
      <c r="M914" s="939"/>
      <c r="N914" s="938"/>
    </row>
    <row r="915">
      <c r="A915" s="232"/>
      <c r="B915" s="232"/>
      <c r="K915" s="939"/>
      <c r="L915" s="938"/>
      <c r="M915" s="939"/>
      <c r="N915" s="938"/>
    </row>
    <row r="916">
      <c r="A916" s="232"/>
      <c r="B916" s="232"/>
      <c r="K916" s="939"/>
      <c r="L916" s="938"/>
      <c r="M916" s="939"/>
      <c r="N916" s="938"/>
    </row>
    <row r="917">
      <c r="A917" s="232"/>
      <c r="B917" s="232"/>
      <c r="K917" s="939"/>
      <c r="L917" s="938"/>
      <c r="M917" s="939"/>
      <c r="N917" s="938"/>
    </row>
    <row r="918">
      <c r="A918" s="232"/>
      <c r="B918" s="232"/>
      <c r="K918" s="939"/>
      <c r="L918" s="938"/>
      <c r="M918" s="939"/>
      <c r="N918" s="938"/>
    </row>
    <row r="919">
      <c r="A919" s="232"/>
      <c r="B919" s="232"/>
      <c r="K919" s="939"/>
      <c r="L919" s="938"/>
      <c r="M919" s="939"/>
      <c r="N919" s="938"/>
    </row>
    <row r="920">
      <c r="A920" s="232"/>
      <c r="B920" s="232"/>
      <c r="K920" s="939"/>
      <c r="L920" s="938"/>
      <c r="M920" s="939"/>
      <c r="N920" s="938"/>
    </row>
    <row r="921">
      <c r="A921" s="232"/>
      <c r="B921" s="232"/>
      <c r="K921" s="939"/>
      <c r="L921" s="938"/>
      <c r="M921" s="939"/>
      <c r="N921" s="938"/>
    </row>
    <row r="922">
      <c r="A922" s="232"/>
      <c r="B922" s="232"/>
      <c r="K922" s="939"/>
      <c r="L922" s="938"/>
      <c r="M922" s="939"/>
      <c r="N922" s="938"/>
    </row>
    <row r="923">
      <c r="A923" s="232"/>
      <c r="B923" s="232"/>
      <c r="K923" s="939"/>
      <c r="L923" s="938"/>
      <c r="M923" s="939"/>
      <c r="N923" s="938"/>
    </row>
    <row r="924">
      <c r="A924" s="232"/>
      <c r="B924" s="232"/>
      <c r="K924" s="939"/>
      <c r="L924" s="938"/>
      <c r="M924" s="939"/>
      <c r="N924" s="938"/>
    </row>
    <row r="925">
      <c r="A925" s="232"/>
      <c r="B925" s="232"/>
      <c r="K925" s="939"/>
      <c r="L925" s="938"/>
      <c r="M925" s="939"/>
      <c r="N925" s="938"/>
    </row>
    <row r="926">
      <c r="A926" s="232"/>
      <c r="B926" s="232"/>
      <c r="K926" s="939"/>
      <c r="L926" s="938"/>
      <c r="M926" s="939"/>
      <c r="N926" s="938"/>
    </row>
    <row r="927">
      <c r="A927" s="232"/>
      <c r="B927" s="232"/>
      <c r="K927" s="939"/>
      <c r="L927" s="938"/>
      <c r="M927" s="939"/>
      <c r="N927" s="938"/>
    </row>
    <row r="928">
      <c r="A928" s="232"/>
      <c r="B928" s="232"/>
      <c r="K928" s="939"/>
      <c r="L928" s="938"/>
      <c r="M928" s="939"/>
      <c r="N928" s="938"/>
    </row>
    <row r="929">
      <c r="A929" s="232"/>
      <c r="B929" s="232"/>
      <c r="K929" s="939"/>
      <c r="L929" s="938"/>
      <c r="M929" s="939"/>
      <c r="N929" s="938"/>
    </row>
    <row r="930">
      <c r="A930" s="232"/>
      <c r="B930" s="232"/>
      <c r="K930" s="939"/>
      <c r="L930" s="938"/>
      <c r="M930" s="939"/>
      <c r="N930" s="938"/>
    </row>
    <row r="931">
      <c r="A931" s="232"/>
      <c r="B931" s="232"/>
      <c r="K931" s="939"/>
      <c r="L931" s="938"/>
      <c r="M931" s="939"/>
      <c r="N931" s="938"/>
    </row>
    <row r="932">
      <c r="A932" s="232"/>
      <c r="B932" s="232"/>
      <c r="K932" s="939"/>
      <c r="L932" s="938"/>
      <c r="M932" s="939"/>
      <c r="N932" s="938"/>
    </row>
    <row r="933">
      <c r="A933" s="232"/>
      <c r="B933" s="232"/>
      <c r="K933" s="939"/>
      <c r="L933" s="938"/>
      <c r="M933" s="939"/>
      <c r="N933" s="938"/>
    </row>
    <row r="934">
      <c r="A934" s="232"/>
      <c r="B934" s="232"/>
      <c r="K934" s="939"/>
      <c r="L934" s="938"/>
      <c r="M934" s="939"/>
      <c r="N934" s="938"/>
    </row>
    <row r="935">
      <c r="A935" s="232"/>
      <c r="B935" s="232"/>
      <c r="K935" s="939"/>
      <c r="L935" s="938"/>
      <c r="M935" s="939"/>
      <c r="N935" s="938"/>
    </row>
    <row r="936">
      <c r="A936" s="232"/>
      <c r="B936" s="232"/>
      <c r="K936" s="939"/>
      <c r="L936" s="938"/>
      <c r="M936" s="939"/>
      <c r="N936" s="938"/>
    </row>
    <row r="937">
      <c r="A937" s="232"/>
      <c r="B937" s="232"/>
      <c r="K937" s="939"/>
      <c r="L937" s="938"/>
      <c r="M937" s="939"/>
      <c r="N937" s="938"/>
    </row>
    <row r="938">
      <c r="A938" s="232"/>
      <c r="B938" s="232"/>
      <c r="K938" s="939"/>
      <c r="L938" s="938"/>
      <c r="M938" s="939"/>
      <c r="N938" s="938"/>
    </row>
    <row r="939">
      <c r="A939" s="232"/>
      <c r="B939" s="232"/>
      <c r="K939" s="939"/>
      <c r="L939" s="938"/>
      <c r="M939" s="939"/>
      <c r="N939" s="938"/>
    </row>
    <row r="940">
      <c r="A940" s="232"/>
      <c r="B940" s="232"/>
      <c r="K940" s="939"/>
      <c r="L940" s="938"/>
      <c r="M940" s="939"/>
      <c r="N940" s="938"/>
    </row>
    <row r="941">
      <c r="A941" s="232"/>
      <c r="B941" s="232"/>
      <c r="K941" s="939"/>
      <c r="L941" s="938"/>
      <c r="M941" s="939"/>
      <c r="N941" s="938"/>
    </row>
    <row r="942">
      <c r="A942" s="232"/>
      <c r="B942" s="232"/>
      <c r="K942" s="939"/>
      <c r="L942" s="938"/>
      <c r="M942" s="939"/>
      <c r="N942" s="938"/>
    </row>
    <row r="943">
      <c r="A943" s="232"/>
      <c r="B943" s="232"/>
      <c r="K943" s="939"/>
      <c r="L943" s="938"/>
      <c r="M943" s="939"/>
      <c r="N943" s="938"/>
    </row>
    <row r="944">
      <c r="A944" s="232"/>
      <c r="B944" s="232"/>
      <c r="K944" s="939"/>
      <c r="L944" s="938"/>
      <c r="M944" s="939"/>
      <c r="N944" s="938"/>
    </row>
    <row r="945">
      <c r="A945" s="232"/>
      <c r="B945" s="232"/>
      <c r="K945" s="939"/>
      <c r="L945" s="938"/>
      <c r="M945" s="939"/>
      <c r="N945" s="938"/>
    </row>
    <row r="946">
      <c r="A946" s="232"/>
      <c r="B946" s="232"/>
      <c r="K946" s="939"/>
      <c r="L946" s="938"/>
      <c r="M946" s="939"/>
      <c r="N946" s="938"/>
    </row>
    <row r="947">
      <c r="A947" s="232"/>
      <c r="B947" s="232"/>
      <c r="K947" s="939"/>
      <c r="L947" s="938"/>
      <c r="M947" s="939"/>
      <c r="N947" s="938"/>
    </row>
    <row r="948">
      <c r="A948" s="232"/>
      <c r="B948" s="232"/>
      <c r="K948" s="939"/>
      <c r="L948" s="938"/>
      <c r="M948" s="939"/>
      <c r="N948" s="938"/>
    </row>
    <row r="949">
      <c r="A949" s="232"/>
      <c r="B949" s="232"/>
      <c r="K949" s="939"/>
      <c r="L949" s="938"/>
      <c r="M949" s="939"/>
      <c r="N949" s="938"/>
    </row>
    <row r="950">
      <c r="A950" s="232"/>
      <c r="B950" s="232"/>
      <c r="K950" s="939"/>
      <c r="L950" s="938"/>
      <c r="M950" s="939"/>
      <c r="N950" s="938"/>
    </row>
    <row r="951">
      <c r="A951" s="232"/>
      <c r="B951" s="232"/>
      <c r="K951" s="939"/>
      <c r="L951" s="938"/>
      <c r="M951" s="939"/>
      <c r="N951" s="938"/>
    </row>
    <row r="952">
      <c r="A952" s="232"/>
      <c r="B952" s="232"/>
      <c r="K952" s="939"/>
      <c r="L952" s="938"/>
      <c r="M952" s="939"/>
      <c r="N952" s="938"/>
    </row>
    <row r="953">
      <c r="A953" s="232"/>
      <c r="B953" s="232"/>
      <c r="K953" s="939"/>
      <c r="L953" s="938"/>
      <c r="M953" s="939"/>
      <c r="N953" s="938"/>
    </row>
    <row r="954">
      <c r="A954" s="232"/>
      <c r="B954" s="232"/>
      <c r="K954" s="939"/>
      <c r="L954" s="938"/>
      <c r="M954" s="939"/>
      <c r="N954" s="938"/>
    </row>
    <row r="955">
      <c r="A955" s="232"/>
      <c r="B955" s="232"/>
      <c r="K955" s="939"/>
      <c r="L955" s="938"/>
      <c r="M955" s="939"/>
      <c r="N955" s="938"/>
    </row>
    <row r="956">
      <c r="A956" s="232"/>
      <c r="B956" s="232"/>
      <c r="K956" s="939"/>
      <c r="L956" s="938"/>
      <c r="M956" s="939"/>
      <c r="N956" s="938"/>
    </row>
    <row r="957">
      <c r="A957" s="232"/>
      <c r="B957" s="232"/>
      <c r="K957" s="939"/>
      <c r="L957" s="938"/>
      <c r="M957" s="939"/>
      <c r="N957" s="938"/>
    </row>
    <row r="958">
      <c r="A958" s="232"/>
      <c r="B958" s="232"/>
      <c r="K958" s="939"/>
      <c r="L958" s="938"/>
      <c r="M958" s="939"/>
      <c r="N958" s="938"/>
    </row>
    <row r="959">
      <c r="A959" s="232"/>
      <c r="B959" s="232"/>
      <c r="K959" s="939"/>
      <c r="L959" s="938"/>
      <c r="M959" s="939"/>
      <c r="N959" s="938"/>
    </row>
    <row r="960">
      <c r="A960" s="232"/>
      <c r="B960" s="232"/>
      <c r="K960" s="939"/>
      <c r="L960" s="938"/>
      <c r="M960" s="939"/>
      <c r="N960" s="938"/>
    </row>
    <row r="961">
      <c r="A961" s="232"/>
      <c r="B961" s="232"/>
      <c r="K961" s="939"/>
      <c r="L961" s="938"/>
      <c r="M961" s="939"/>
      <c r="N961" s="938"/>
    </row>
    <row r="962">
      <c r="A962" s="232"/>
      <c r="B962" s="232"/>
      <c r="K962" s="939"/>
      <c r="L962" s="938"/>
      <c r="M962" s="939"/>
      <c r="N962" s="938"/>
    </row>
    <row r="963">
      <c r="A963" s="232"/>
      <c r="B963" s="232"/>
      <c r="K963" s="939"/>
      <c r="L963" s="938"/>
      <c r="M963" s="939"/>
      <c r="N963" s="938"/>
    </row>
    <row r="964">
      <c r="A964" s="232"/>
      <c r="B964" s="232"/>
      <c r="K964" s="939"/>
      <c r="L964" s="938"/>
      <c r="M964" s="939"/>
      <c r="N964" s="938"/>
    </row>
    <row r="965">
      <c r="A965" s="232"/>
      <c r="B965" s="232"/>
      <c r="K965" s="939"/>
      <c r="L965" s="938"/>
      <c r="M965" s="939"/>
      <c r="N965" s="938"/>
    </row>
    <row r="966">
      <c r="A966" s="232"/>
      <c r="B966" s="232"/>
      <c r="K966" s="939"/>
      <c r="L966" s="938"/>
      <c r="M966" s="939"/>
      <c r="N966" s="938"/>
    </row>
    <row r="967">
      <c r="A967" s="232"/>
      <c r="B967" s="232"/>
      <c r="K967" s="939"/>
      <c r="L967" s="938"/>
      <c r="M967" s="939"/>
      <c r="N967" s="938"/>
    </row>
    <row r="968">
      <c r="A968" s="232"/>
      <c r="B968" s="232"/>
      <c r="K968" s="939"/>
      <c r="L968" s="938"/>
      <c r="M968" s="939"/>
      <c r="N968" s="938"/>
    </row>
    <row r="969">
      <c r="A969" s="232"/>
      <c r="B969" s="232"/>
      <c r="K969" s="939"/>
      <c r="L969" s="938"/>
      <c r="M969" s="939"/>
      <c r="N969" s="938"/>
    </row>
    <row r="970">
      <c r="A970" s="232"/>
      <c r="B970" s="232"/>
      <c r="K970" s="939"/>
      <c r="L970" s="938"/>
      <c r="M970" s="939"/>
      <c r="N970" s="938"/>
    </row>
    <row r="971">
      <c r="A971" s="232"/>
      <c r="B971" s="232"/>
      <c r="K971" s="939"/>
      <c r="L971" s="938"/>
      <c r="M971" s="939"/>
      <c r="N971" s="938"/>
    </row>
    <row r="972">
      <c r="A972" s="232"/>
      <c r="B972" s="232"/>
      <c r="K972" s="939"/>
      <c r="L972" s="938"/>
      <c r="M972" s="939"/>
      <c r="N972" s="938"/>
    </row>
    <row r="973">
      <c r="A973" s="232"/>
      <c r="B973" s="232"/>
      <c r="K973" s="939"/>
      <c r="L973" s="938"/>
      <c r="M973" s="939"/>
      <c r="N973" s="938"/>
    </row>
    <row r="974">
      <c r="A974" s="232"/>
      <c r="B974" s="232"/>
      <c r="K974" s="939"/>
      <c r="L974" s="938"/>
      <c r="M974" s="939"/>
      <c r="N974" s="938"/>
    </row>
    <row r="975">
      <c r="A975" s="232"/>
      <c r="B975" s="232"/>
      <c r="K975" s="939"/>
      <c r="L975" s="938"/>
      <c r="M975" s="939"/>
      <c r="N975" s="938"/>
    </row>
    <row r="976">
      <c r="A976" s="232"/>
      <c r="B976" s="232"/>
      <c r="K976" s="939"/>
      <c r="L976" s="938"/>
      <c r="M976" s="939"/>
      <c r="N976" s="938"/>
    </row>
    <row r="977">
      <c r="A977" s="232"/>
      <c r="B977" s="232"/>
      <c r="K977" s="939"/>
      <c r="L977" s="938"/>
      <c r="M977" s="939"/>
      <c r="N977" s="938"/>
    </row>
    <row r="978">
      <c r="A978" s="232"/>
      <c r="B978" s="232"/>
      <c r="K978" s="939"/>
      <c r="L978" s="938"/>
      <c r="M978" s="939"/>
      <c r="N978" s="938"/>
    </row>
    <row r="979">
      <c r="A979" s="232"/>
      <c r="B979" s="232"/>
      <c r="K979" s="939"/>
      <c r="L979" s="938"/>
      <c r="M979" s="939"/>
      <c r="N979" s="938"/>
    </row>
    <row r="980">
      <c r="A980" s="232"/>
      <c r="B980" s="232"/>
      <c r="K980" s="939"/>
      <c r="L980" s="938"/>
      <c r="M980" s="939"/>
      <c r="N980" s="938"/>
    </row>
    <row r="981">
      <c r="A981" s="232"/>
      <c r="B981" s="232"/>
      <c r="K981" s="939"/>
      <c r="L981" s="938"/>
      <c r="M981" s="939"/>
      <c r="N981" s="938"/>
    </row>
    <row r="982">
      <c r="A982" s="232"/>
      <c r="B982" s="232"/>
      <c r="K982" s="939"/>
      <c r="L982" s="938"/>
      <c r="M982" s="939"/>
      <c r="N982" s="938"/>
    </row>
    <row r="983">
      <c r="A983" s="232"/>
      <c r="B983" s="232"/>
      <c r="K983" s="939"/>
      <c r="L983" s="938"/>
      <c r="M983" s="939"/>
      <c r="N983" s="938"/>
    </row>
    <row r="984">
      <c r="A984" s="232"/>
      <c r="B984" s="232"/>
      <c r="K984" s="939"/>
      <c r="L984" s="938"/>
      <c r="M984" s="939"/>
      <c r="N984" s="938"/>
    </row>
    <row r="985">
      <c r="A985" s="232"/>
      <c r="B985" s="232"/>
      <c r="K985" s="939"/>
      <c r="L985" s="938"/>
      <c r="M985" s="939"/>
      <c r="N985" s="938"/>
    </row>
    <row r="986">
      <c r="A986" s="232"/>
      <c r="B986" s="232"/>
      <c r="K986" s="939"/>
      <c r="L986" s="938"/>
      <c r="M986" s="939"/>
      <c r="N986" s="938"/>
    </row>
    <row r="987">
      <c r="A987" s="232"/>
      <c r="B987" s="232"/>
      <c r="K987" s="939"/>
      <c r="L987" s="938"/>
      <c r="M987" s="939"/>
      <c r="N987" s="938"/>
    </row>
    <row r="988">
      <c r="A988" s="232"/>
      <c r="B988" s="232"/>
      <c r="K988" s="939"/>
      <c r="L988" s="938"/>
      <c r="M988" s="939"/>
      <c r="N988" s="938"/>
    </row>
    <row r="989">
      <c r="A989" s="232"/>
      <c r="B989" s="232"/>
      <c r="K989" s="939"/>
      <c r="L989" s="938"/>
      <c r="M989" s="939"/>
      <c r="N989" s="938"/>
    </row>
    <row r="990">
      <c r="A990" s="232"/>
      <c r="B990" s="232"/>
      <c r="K990" s="939"/>
      <c r="L990" s="938"/>
      <c r="M990" s="939"/>
      <c r="N990" s="938"/>
    </row>
    <row r="991">
      <c r="A991" s="232"/>
      <c r="B991" s="232"/>
      <c r="K991" s="939"/>
      <c r="L991" s="938"/>
      <c r="M991" s="939"/>
      <c r="N991" s="938"/>
    </row>
    <row r="992">
      <c r="A992" s="232"/>
      <c r="B992" s="232"/>
      <c r="K992" s="939"/>
      <c r="L992" s="938"/>
      <c r="M992" s="939"/>
      <c r="N992" s="938"/>
    </row>
    <row r="993">
      <c r="A993" s="232"/>
      <c r="B993" s="232"/>
      <c r="K993" s="939"/>
      <c r="L993" s="938"/>
      <c r="M993" s="939"/>
      <c r="N993" s="938"/>
    </row>
    <row r="994">
      <c r="A994" s="232"/>
      <c r="B994" s="232"/>
      <c r="K994" s="939"/>
      <c r="L994" s="938"/>
      <c r="M994" s="939"/>
      <c r="N994" s="938"/>
    </row>
    <row r="995">
      <c r="A995" s="232"/>
      <c r="B995" s="232"/>
      <c r="K995" s="939"/>
      <c r="L995" s="938"/>
      <c r="M995" s="939"/>
      <c r="N995" s="938"/>
    </row>
    <row r="996">
      <c r="A996" s="232"/>
      <c r="B996" s="232"/>
      <c r="K996" s="939"/>
      <c r="L996" s="938"/>
      <c r="M996" s="939"/>
      <c r="N996" s="938"/>
    </row>
    <row r="997">
      <c r="A997" s="232"/>
      <c r="B997" s="232"/>
      <c r="K997" s="939"/>
      <c r="L997" s="938"/>
      <c r="M997" s="939"/>
      <c r="N997" s="938"/>
    </row>
  </sheetData>
  <conditionalFormatting sqref="A1:A35 B1:I7 J1:J35 K1:K10 L1:L9 M1:M10 N1:N9 AA1:AE997 B9:I19 K14:K23 L14:L22 M14:N34 B22:I35 K26:K35 L26:L34 P33:Z997 A39:K997 L39:N57 O39:O997 L59:N997">
    <cfRule type="cellIs" dxfId="17" priority="1" operator="equal">
      <formula>"FS"</formula>
    </cfRule>
  </conditionalFormatting>
  <conditionalFormatting sqref="A1:A35 B1:I7 J1:J35 K1:K10 L1:L9 M1:M10 N1:N9 AA1:AE997 B9:I19 K14:K23 L14:L22 M14:N34 B22:I35 K26:K35 L26:L34 P33:Z997 A39:K997 L39:N57 O39:O997 L59:N997">
    <cfRule type="cellIs" dxfId="18" priority="2" operator="equal">
      <formula>"WF"</formula>
    </cfRule>
  </conditionalFormatting>
  <conditionalFormatting sqref="A1:A35 B1:I7 J1:J35 K1:K10 L1:L9 M1:M10 N1:N9 AA1:AE997 B9:I19 K14:K23 L14:L22 M14:N34 B22:I35 K26:K35 L26:L34 P33:Z997 A39:K997 L39:N57 O39:O997 L59:N997">
    <cfRule type="cellIs" dxfId="19" priority="3" operator="equal">
      <formula>"NC"</formula>
    </cfRule>
  </conditionalFormatting>
  <conditionalFormatting sqref="A1:A35 B1:I7 J1:J35 K1:K10 L1:L9 M1:M10 N1:N9 AA1:AE997 B9:I19 K14:K23 L14:L22 M14:N34 B22:I35 K26:K35 L26:L34 P33:Z997 A39:K997 L39:N57 O39:O997 L59:N997">
    <cfRule type="cellIs" dxfId="20" priority="4" operator="equal">
      <formula>"TF"</formula>
    </cfRule>
  </conditionalFormatting>
  <conditionalFormatting sqref="A1:A35 B1:I7 J1:J35 K1:K10 L1:L9 M1:M10 N1:N9 AA1:AE997 B9:I19 K14:K23 L14:L22 M14:N34 B22:I35 K26:K35 L26:L34 P33:Z997 A39:K997 L39:N57 O39:O997 L59:N997">
    <cfRule type="cellIs" dxfId="21" priority="5" operator="equal">
      <formula>"JC"</formula>
    </cfRule>
  </conditionalFormatting>
  <conditionalFormatting sqref="A1:A35 B1:I7 J1:J35 K1:K10 L1:L9 M1:M10 N1:N9 AA1:AE997 B9:I19 K14:K23 L14:L22 M14:N34 B22:I35 K26:K35 L26:L34 P33:Z997 A39:K997 L39:N57 O39:O997 L59:N997">
    <cfRule type="cellIs" dxfId="22" priority="6" operator="equal">
      <formula>"LNL"</formula>
    </cfRule>
  </conditionalFormatting>
  <conditionalFormatting sqref="A1:A35 B1:I7 J1:J35 K1:K10 L1:L9 M1:M10 N1:N9 AA1:AE997 B9:I19 K14:K23 L14:L22 M14:N34 B22:I35 K26:K35 L26:L34 P33:Z997 A39:K997 L39:N57 O39:O997 L59:N997">
    <cfRule type="cellIs" dxfId="23" priority="7" operator="equal">
      <formula>"OJ"</formula>
    </cfRule>
  </conditionalFormatting>
  <conditionalFormatting sqref="A1:A35 B1:I7 J1:J35 K1:K10 L1:L9 M1:M10 N1:N9 AA1:AE997 B9:I19 K14:K23 L14:L22 M14:N34 B22:I35 K26:K35 L26:L34 P33:Z997 A39:K997 L39:N57 O39:O997 L59:N997">
    <cfRule type="cellIs" dxfId="24" priority="8" operator="equal">
      <formula>"HRM"</formula>
    </cfRule>
  </conditionalFormatting>
  <conditionalFormatting sqref="A1:A35 B1:I7 J1:J35 K1:K10 L1:L9 M1:M10 N1:N9 AA1:AE997 B9:I19 K14:K23 L14:L22 M14:N34 B22:I35 K26:K35 L26:L34 P33:Z997 A39:K997 L39:N57 O39:O997 L59:N997">
    <cfRule type="cellIs" dxfId="25" priority="9" operator="equal">
      <formula>"LA"</formula>
    </cfRule>
  </conditionalFormatting>
  <conditionalFormatting sqref="A1:A35 B1:I7 J1:J35 K1:K10 L1:L9 M1:M10 N1:N9 AA1:AE997 B9:I19 K14:K23 L14:L22 M14:N34 B22:I35 K26:K35 L26:L34 P33:Z997 A39:K997 L39:N57 O39:O997 L59:N997">
    <cfRule type="cellIs" dxfId="26" priority="10" operator="equal">
      <formula>"AN"</formula>
    </cfRule>
  </conditionalFormatting>
  <conditionalFormatting sqref="A1:A35 B1:I7 J1:J35 K1:K10 L1:L9 M1:M10 N1:N9 AA1:AE997 B9:I19 K14:K23 L14:L22 M14:N34 B22:I35 K26:K35 L26:L34 P33:Z997 A39:K997 L39:N57 O39:O997 L59:N997">
    <cfRule type="cellIs" dxfId="27" priority="11" operator="equal">
      <formula>"KS"</formula>
    </cfRule>
  </conditionalFormatting>
  <conditionalFormatting sqref="A1:A35 B1:I7 J1:J35 K1:K10 L1:L9 M1:M10 N1:N9 O1:O35 P1:AE997 B9:I19 K14:K35 L14:N34 B21:I35 A39:K997 L39:N57 O39:O997 L59:N997">
    <cfRule type="cellIs" dxfId="28" priority="12" operator="equal">
      <formula>"GA"</formula>
    </cfRule>
  </conditionalFormatting>
  <conditionalFormatting sqref="A1:A35 B1:I7 J1:J35 K1:K10 L1:L9 M1:M10 N1:N9 O1:O35 P1:AE997 B9:I19 K14:K35 L14:N34 B21:I35 A39:K997 L39:N57 O39:O997 L59:N997">
    <cfRule type="cellIs" dxfId="6" priority="13" operator="equal">
      <formula>"JZ"</formula>
    </cfRule>
  </conditionalFormatting>
  <conditionalFormatting sqref="A1:A35 B1:I7 J1:J35 K1:K10 L1:L9 M1:M10 N1:N9 O1:O35 P1:AE997 B9:I19 K14:K35 L14:N34 B21:I35 A39:K997 L39:N57 O39:O997 L59:N997">
    <cfRule type="cellIs" dxfId="29" priority="14" operator="equal">
      <formula>"JW"</formula>
    </cfRule>
  </conditionalFormatting>
  <conditionalFormatting sqref="A1:A35 B1:I7 J1:J35 K1:K10 L1:L9 M1:M10 N1:N9 O1:O35 P1:AE997 B9:I19 K14:K35 L14:N34 B21:I35 A39:K997 L39:N57 O39:O997 L59:N997">
    <cfRule type="cellIs" dxfId="30" priority="15" operator="equal">
      <formula>"JG"</formula>
    </cfRule>
  </conditionalFormatting>
  <conditionalFormatting sqref="A1:A35 B1:I7 J1:O35 P1:AE997 B9:I19 B21:I35 A39:K997 L39:N57 O39:O997 L59:N997">
    <cfRule type="cellIs" dxfId="10" priority="16" operator="equal">
      <formula>"PP"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31.88"/>
    <col customWidth="1" min="4" max="4" width="12.88"/>
  </cols>
  <sheetData>
    <row r="1">
      <c r="A1" s="1026" t="s">
        <v>1583</v>
      </c>
      <c r="G1" s="936"/>
      <c r="H1" s="936"/>
    </row>
    <row r="2">
      <c r="A2" s="1027" t="s">
        <v>1584</v>
      </c>
      <c r="C2" s="1028" t="s">
        <v>13</v>
      </c>
      <c r="D2" s="1028" t="s">
        <v>9</v>
      </c>
      <c r="E2" s="1028" t="s">
        <v>12</v>
      </c>
      <c r="F2" s="1028" t="s">
        <v>8</v>
      </c>
    </row>
    <row r="3">
      <c r="A3" s="123" t="s">
        <v>1585</v>
      </c>
      <c r="C3" s="1029" t="b">
        <v>0</v>
      </c>
      <c r="D3" s="1029" t="b">
        <v>0</v>
      </c>
      <c r="E3" s="1029" t="b">
        <v>0</v>
      </c>
      <c r="F3" s="1029" t="b">
        <v>0</v>
      </c>
    </row>
    <row r="4">
      <c r="A4" s="115" t="s">
        <v>1586</v>
      </c>
      <c r="C4" s="1029" t="b">
        <v>0</v>
      </c>
      <c r="D4" s="1029" t="b">
        <v>0</v>
      </c>
      <c r="E4" s="1029" t="b">
        <v>0</v>
      </c>
      <c r="F4" s="1029" t="b">
        <v>0</v>
      </c>
    </row>
    <row r="5">
      <c r="A5" s="115" t="s">
        <v>1587</v>
      </c>
      <c r="C5" s="1029" t="b">
        <v>0</v>
      </c>
      <c r="D5" s="1029" t="b">
        <v>0</v>
      </c>
      <c r="E5" s="1029" t="b">
        <v>0</v>
      </c>
      <c r="F5" s="1029" t="b">
        <v>0</v>
      </c>
    </row>
    <row r="6">
      <c r="A6" s="123" t="s">
        <v>1588</v>
      </c>
      <c r="C6" s="1029" t="b">
        <v>0</v>
      </c>
      <c r="D6" s="1029" t="b">
        <v>0</v>
      </c>
      <c r="E6" s="1029" t="b">
        <v>0</v>
      </c>
      <c r="F6" s="1029" t="b">
        <v>0</v>
      </c>
    </row>
    <row r="7">
      <c r="A7" s="123" t="s">
        <v>1589</v>
      </c>
      <c r="C7" s="1029" t="b">
        <v>0</v>
      </c>
      <c r="D7" s="1029" t="b">
        <v>0</v>
      </c>
      <c r="E7" s="1029" t="b">
        <v>0</v>
      </c>
      <c r="F7" s="1029" t="b">
        <v>0</v>
      </c>
    </row>
    <row r="8">
      <c r="A8" s="115" t="s">
        <v>1586</v>
      </c>
      <c r="C8" s="1029" t="b">
        <v>0</v>
      </c>
      <c r="D8" s="1029" t="b">
        <v>0</v>
      </c>
      <c r="E8" s="1029" t="b">
        <v>0</v>
      </c>
      <c r="F8" s="1029" t="b">
        <v>0</v>
      </c>
    </row>
    <row r="9">
      <c r="A9" s="115" t="s">
        <v>1590</v>
      </c>
      <c r="C9" s="1029" t="b">
        <v>0</v>
      </c>
      <c r="D9" s="1029" t="b">
        <v>0</v>
      </c>
      <c r="E9" s="1029" t="b">
        <v>0</v>
      </c>
      <c r="F9" s="1029" t="b">
        <v>0</v>
      </c>
    </row>
    <row r="10">
      <c r="A10" s="123" t="s">
        <v>1591</v>
      </c>
      <c r="C10" s="1029" t="b">
        <v>0</v>
      </c>
      <c r="D10" s="1029" t="b">
        <v>0</v>
      </c>
      <c r="E10" s="1029" t="b">
        <v>0</v>
      </c>
      <c r="F10" s="1029" t="b">
        <v>0</v>
      </c>
    </row>
    <row r="11">
      <c r="A11" s="115" t="s">
        <v>1592</v>
      </c>
      <c r="C11" s="1029" t="b">
        <v>0</v>
      </c>
      <c r="D11" s="1029" t="b">
        <v>0</v>
      </c>
      <c r="E11" s="1029" t="b">
        <v>0</v>
      </c>
      <c r="F11" s="1029" t="b">
        <v>0</v>
      </c>
    </row>
    <row r="12">
      <c r="A12" s="115" t="s">
        <v>1593</v>
      </c>
      <c r="C12" s="1029" t="b">
        <v>0</v>
      </c>
      <c r="D12" s="1029" t="b">
        <v>0</v>
      </c>
      <c r="E12" s="1029" t="b">
        <v>0</v>
      </c>
      <c r="F12" s="1029" t="b">
        <v>0</v>
      </c>
    </row>
    <row r="13">
      <c r="A13" s="115" t="s">
        <v>1594</v>
      </c>
      <c r="C13" s="1029" t="b">
        <v>0</v>
      </c>
      <c r="D13" s="1029" t="b">
        <v>0</v>
      </c>
      <c r="E13" s="1029" t="b">
        <v>0</v>
      </c>
      <c r="F13" s="1029" t="b">
        <v>0</v>
      </c>
    </row>
    <row r="14">
      <c r="A14" s="115" t="s">
        <v>1595</v>
      </c>
      <c r="C14" s="1029" t="b">
        <v>0</v>
      </c>
      <c r="D14" s="1029" t="b">
        <v>0</v>
      </c>
      <c r="E14" s="1029" t="b">
        <v>0</v>
      </c>
      <c r="F14" s="1029" t="b">
        <v>0</v>
      </c>
    </row>
    <row r="15">
      <c r="A15" s="115" t="s">
        <v>1596</v>
      </c>
      <c r="C15" s="1029" t="b">
        <v>0</v>
      </c>
      <c r="D15" s="1029" t="b">
        <v>0</v>
      </c>
      <c r="E15" s="1029" t="b">
        <v>0</v>
      </c>
      <c r="F15" s="1029" t="b">
        <v>0</v>
      </c>
    </row>
    <row r="16">
      <c r="A16" s="115" t="s">
        <v>1597</v>
      </c>
      <c r="C16" s="1029" t="b">
        <v>0</v>
      </c>
      <c r="D16" s="1029" t="b">
        <v>0</v>
      </c>
      <c r="E16" s="1029" t="b">
        <v>0</v>
      </c>
      <c r="F16" s="1029" t="b">
        <v>0</v>
      </c>
    </row>
    <row r="17">
      <c r="A17" s="115" t="s">
        <v>1598</v>
      </c>
      <c r="C17" s="1029" t="b">
        <v>0</v>
      </c>
      <c r="D17" s="1029" t="b">
        <v>0</v>
      </c>
      <c r="E17" s="1029" t="b">
        <v>0</v>
      </c>
      <c r="F17" s="1029" t="b">
        <v>0</v>
      </c>
    </row>
    <row r="18">
      <c r="A18" s="115" t="s">
        <v>1599</v>
      </c>
      <c r="C18" s="1029" t="b">
        <v>0</v>
      </c>
      <c r="D18" s="1029" t="b">
        <v>0</v>
      </c>
      <c r="E18" s="1029" t="b">
        <v>0</v>
      </c>
      <c r="F18" s="1029" t="b">
        <v>0</v>
      </c>
    </row>
    <row r="19">
      <c r="A19" s="1027" t="s">
        <v>1600</v>
      </c>
      <c r="C19" s="1030" t="s">
        <v>7</v>
      </c>
      <c r="D19" s="1030" t="s">
        <v>10</v>
      </c>
      <c r="E19" s="1030" t="s">
        <v>11</v>
      </c>
      <c r="F19" s="1030"/>
    </row>
    <row r="20">
      <c r="A20" s="123" t="s">
        <v>1601</v>
      </c>
      <c r="C20" s="1029" t="b">
        <v>0</v>
      </c>
      <c r="D20" s="1029" t="b">
        <v>0</v>
      </c>
      <c r="E20" s="1029" t="b">
        <v>0</v>
      </c>
    </row>
    <row r="21">
      <c r="A21" s="115" t="s">
        <v>1586</v>
      </c>
      <c r="C21" s="1029" t="b">
        <v>0</v>
      </c>
      <c r="D21" s="1029" t="b">
        <v>0</v>
      </c>
      <c r="E21" s="1029" t="b">
        <v>0</v>
      </c>
    </row>
    <row r="22">
      <c r="A22" s="115" t="s">
        <v>1602</v>
      </c>
      <c r="C22" s="1029" t="b">
        <v>0</v>
      </c>
      <c r="D22" s="1029" t="b">
        <v>0</v>
      </c>
      <c r="E22" s="1029" t="b">
        <v>0</v>
      </c>
    </row>
    <row r="23">
      <c r="A23" s="123" t="s">
        <v>1603</v>
      </c>
      <c r="C23" s="1029" t="b">
        <v>0</v>
      </c>
      <c r="D23" s="1029" t="b">
        <v>0</v>
      </c>
      <c r="E23" s="1029" t="b">
        <v>0</v>
      </c>
    </row>
    <row r="24">
      <c r="A24" s="115" t="s">
        <v>1595</v>
      </c>
      <c r="C24" s="1029" t="b">
        <v>0</v>
      </c>
      <c r="D24" s="1029" t="b">
        <v>0</v>
      </c>
      <c r="E24" s="1029" t="b">
        <v>0</v>
      </c>
    </row>
    <row r="25">
      <c r="A25" s="115" t="s">
        <v>1597</v>
      </c>
      <c r="C25" s="1029" t="b">
        <v>0</v>
      </c>
      <c r="D25" s="1029" t="b">
        <v>0</v>
      </c>
      <c r="E25" s="1029" t="b">
        <v>0</v>
      </c>
    </row>
    <row r="26">
      <c r="A26" s="115" t="s">
        <v>1598</v>
      </c>
      <c r="C26" s="1029" t="b">
        <v>0</v>
      </c>
      <c r="D26" s="1029" t="b">
        <v>0</v>
      </c>
      <c r="E26" s="1029" t="b">
        <v>0</v>
      </c>
    </row>
    <row r="27">
      <c r="A27" s="115" t="s">
        <v>1599</v>
      </c>
      <c r="C27" s="1029" t="b">
        <v>0</v>
      </c>
      <c r="D27" s="1029" t="b">
        <v>0</v>
      </c>
      <c r="E27" s="1029" t="b">
        <v>0</v>
      </c>
    </row>
    <row r="28">
      <c r="A28" s="1031" t="s">
        <v>234</v>
      </c>
      <c r="C28" s="1032" t="s">
        <v>198</v>
      </c>
      <c r="D28" s="1032" t="s">
        <v>70</v>
      </c>
    </row>
    <row r="29">
      <c r="A29" s="115" t="s">
        <v>1604</v>
      </c>
      <c r="C29" s="1029" t="b">
        <v>0</v>
      </c>
      <c r="D29" s="59"/>
    </row>
    <row r="30">
      <c r="A30" s="115" t="s">
        <v>1605</v>
      </c>
      <c r="C30" s="1029" t="b">
        <v>0</v>
      </c>
      <c r="D30" s="59"/>
    </row>
    <row r="31">
      <c r="A31" s="115" t="s">
        <v>1606</v>
      </c>
      <c r="C31" s="1029" t="b">
        <v>0</v>
      </c>
      <c r="D31" s="59"/>
    </row>
    <row r="32">
      <c r="A32" s="115" t="s">
        <v>1607</v>
      </c>
      <c r="C32" s="1029" t="b">
        <v>0</v>
      </c>
      <c r="D32" s="59"/>
    </row>
    <row r="33">
      <c r="A33" s="115" t="s">
        <v>1608</v>
      </c>
      <c r="C33" s="1029" t="b">
        <v>0</v>
      </c>
      <c r="D33" s="59"/>
    </row>
    <row r="34">
      <c r="A34" s="115" t="s">
        <v>1609</v>
      </c>
      <c r="C34" s="1029" t="b">
        <v>0</v>
      </c>
      <c r="D34" s="59"/>
    </row>
    <row r="35">
      <c r="A35" s="1031" t="s">
        <v>243</v>
      </c>
      <c r="C35" s="1032" t="s">
        <v>198</v>
      </c>
      <c r="D35" s="1032" t="s">
        <v>70</v>
      </c>
    </row>
    <row r="36">
      <c r="A36" s="137" t="s">
        <v>247</v>
      </c>
      <c r="C36" s="1029" t="b">
        <v>0</v>
      </c>
      <c r="D36" s="59"/>
    </row>
    <row r="37">
      <c r="A37" s="115" t="s">
        <v>1610</v>
      </c>
      <c r="C37" s="1029" t="b">
        <v>0</v>
      </c>
      <c r="D37" s="59"/>
    </row>
    <row r="38">
      <c r="A38" s="115" t="s">
        <v>1611</v>
      </c>
      <c r="C38" s="1029" t="b">
        <v>0</v>
      </c>
      <c r="D38" s="59"/>
    </row>
  </sheetData>
  <mergeCells count="49">
    <mergeCell ref="A1:F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D28:F28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A34:B34"/>
    <mergeCell ref="D36:F36"/>
    <mergeCell ref="D37:F37"/>
    <mergeCell ref="D38:F38"/>
    <mergeCell ref="D29:F29"/>
    <mergeCell ref="D30:F30"/>
    <mergeCell ref="D31:F31"/>
    <mergeCell ref="D32:F32"/>
    <mergeCell ref="D33:F33"/>
    <mergeCell ref="D34:F34"/>
    <mergeCell ref="D35:F3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6.63"/>
    <col customWidth="1" min="3" max="3" width="10.63"/>
    <col customWidth="1" min="4" max="4" width="21.88"/>
    <col customWidth="1" min="5" max="5" width="19.5"/>
    <col customWidth="1" min="6" max="6" width="22.75"/>
    <col customWidth="1" min="8" max="8" width="15.0"/>
    <col customWidth="1" min="9" max="9" width="11.63"/>
    <col customWidth="1" min="10" max="10" width="15.0"/>
  </cols>
  <sheetData>
    <row r="1">
      <c r="A1" s="1033" t="s">
        <v>1612</v>
      </c>
      <c r="B1" s="1034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0"/>
      <c r="N1" s="610"/>
    </row>
    <row r="2" ht="13.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37"/>
      <c r="L2" s="1037"/>
      <c r="M2" s="1037"/>
      <c r="N2" s="1037"/>
      <c r="O2" s="1038"/>
      <c r="P2" s="1038"/>
      <c r="Q2" s="1038"/>
      <c r="R2" s="1038"/>
      <c r="S2" s="1038"/>
      <c r="T2" s="1038"/>
      <c r="U2" s="1038"/>
      <c r="V2" s="1038"/>
      <c r="W2" s="1038"/>
      <c r="X2" s="1038"/>
      <c r="Y2" s="1038"/>
      <c r="Z2" s="1038"/>
      <c r="AA2" s="1038"/>
    </row>
    <row r="3" ht="13.5" customHeight="1">
      <c r="A3" s="1039" t="s">
        <v>1427</v>
      </c>
      <c r="B3" s="174"/>
      <c r="C3" s="1040" t="s">
        <v>799</v>
      </c>
      <c r="D3" s="174"/>
      <c r="E3" s="1041" t="s">
        <v>804</v>
      </c>
      <c r="F3" s="174"/>
      <c r="G3" s="1042" t="s">
        <v>809</v>
      </c>
      <c r="H3" s="174"/>
      <c r="I3" s="1043" t="s">
        <v>814</v>
      </c>
      <c r="J3" s="174"/>
      <c r="K3" s="1044"/>
      <c r="L3" s="1044"/>
      <c r="M3" s="1044"/>
      <c r="N3" s="1044"/>
      <c r="O3" s="1045"/>
      <c r="P3" s="1045"/>
      <c r="Q3" s="1045"/>
      <c r="R3" s="1045"/>
      <c r="S3" s="1045"/>
      <c r="T3" s="1045"/>
      <c r="U3" s="1045"/>
      <c r="V3" s="1045"/>
      <c r="W3" s="1045"/>
      <c r="X3" s="1045"/>
      <c r="Y3" s="1045"/>
      <c r="Z3" s="1045"/>
      <c r="AA3" s="1045"/>
    </row>
    <row r="4" ht="13.5" customHeight="1">
      <c r="A4" s="1046" t="s">
        <v>1613</v>
      </c>
      <c r="B4" s="1047" t="s">
        <v>1614</v>
      </c>
      <c r="C4" s="1048" t="s">
        <v>1615</v>
      </c>
      <c r="D4" s="1047" t="s">
        <v>1614</v>
      </c>
      <c r="E4" s="1049" t="s">
        <v>1616</v>
      </c>
      <c r="F4" s="1047" t="s">
        <v>1614</v>
      </c>
      <c r="G4" s="1050" t="s">
        <v>1617</v>
      </c>
      <c r="H4" s="1047" t="s">
        <v>1614</v>
      </c>
      <c r="I4" s="1051" t="s">
        <v>1618</v>
      </c>
      <c r="J4" s="1047" t="s">
        <v>1614</v>
      </c>
      <c r="K4" s="1044"/>
      <c r="L4" s="1044"/>
      <c r="M4" s="1044"/>
      <c r="N4" s="1044"/>
      <c r="O4" s="1045"/>
      <c r="P4" s="1045"/>
      <c r="Q4" s="1045"/>
      <c r="R4" s="1045"/>
      <c r="S4" s="1045"/>
      <c r="T4" s="1045"/>
      <c r="U4" s="1045"/>
      <c r="V4" s="1045"/>
      <c r="W4" s="1045"/>
      <c r="X4" s="1045"/>
      <c r="Y4" s="1045"/>
      <c r="Z4" s="1045"/>
      <c r="AA4" s="1045"/>
    </row>
    <row r="5" ht="13.5" customHeight="1">
      <c r="A5" s="1052"/>
      <c r="B5" s="1047" t="s">
        <v>1619</v>
      </c>
      <c r="C5" s="1053"/>
      <c r="D5" s="1047" t="s">
        <v>1619</v>
      </c>
      <c r="E5" s="1054"/>
      <c r="F5" s="1047" t="s">
        <v>1619</v>
      </c>
      <c r="G5" s="1055"/>
      <c r="H5" s="1047" t="s">
        <v>1619</v>
      </c>
      <c r="I5" s="1056"/>
      <c r="J5" s="1047" t="s">
        <v>1619</v>
      </c>
      <c r="K5" s="1044"/>
      <c r="L5" s="1044"/>
      <c r="M5" s="1044"/>
      <c r="N5" s="1044"/>
      <c r="O5" s="1045"/>
      <c r="P5" s="1045"/>
      <c r="Q5" s="1045"/>
      <c r="R5" s="1045"/>
      <c r="S5" s="1045"/>
      <c r="T5" s="1045"/>
      <c r="U5" s="1045"/>
      <c r="V5" s="1045"/>
      <c r="W5" s="1045"/>
      <c r="X5" s="1045"/>
      <c r="Y5" s="1045"/>
      <c r="Z5" s="1045"/>
      <c r="AA5" s="1045"/>
    </row>
    <row r="6" ht="13.5" customHeight="1">
      <c r="A6" s="1046" t="s">
        <v>1620</v>
      </c>
      <c r="B6" s="1047" t="s">
        <v>1621</v>
      </c>
      <c r="C6" s="1048" t="s">
        <v>1622</v>
      </c>
      <c r="D6" s="1047" t="s">
        <v>1621</v>
      </c>
      <c r="E6" s="1049" t="s">
        <v>1623</v>
      </c>
      <c r="F6" s="1047" t="s">
        <v>1621</v>
      </c>
      <c r="G6" s="1050" t="s">
        <v>1624</v>
      </c>
      <c r="H6" s="1047" t="s">
        <v>1621</v>
      </c>
      <c r="I6" s="1051" t="s">
        <v>1625</v>
      </c>
      <c r="J6" s="1047" t="s">
        <v>1621</v>
      </c>
      <c r="K6" s="1044"/>
      <c r="L6" s="1044"/>
      <c r="M6" s="1044"/>
      <c r="N6" s="1044"/>
      <c r="O6" s="1045"/>
      <c r="P6" s="1045"/>
      <c r="Q6" s="1045"/>
      <c r="R6" s="1045"/>
      <c r="S6" s="1045"/>
      <c r="T6" s="1045"/>
      <c r="U6" s="1045"/>
      <c r="V6" s="1045"/>
      <c r="W6" s="1045"/>
      <c r="X6" s="1045"/>
      <c r="Y6" s="1045"/>
      <c r="Z6" s="1045"/>
      <c r="AA6" s="1045"/>
    </row>
    <row r="7" ht="13.5" customHeight="1">
      <c r="A7" s="1052"/>
      <c r="B7" s="1047" t="s">
        <v>1626</v>
      </c>
      <c r="C7" s="1053"/>
      <c r="D7" s="1047" t="s">
        <v>1626</v>
      </c>
      <c r="E7" s="1054"/>
      <c r="F7" s="1047" t="s">
        <v>1626</v>
      </c>
      <c r="G7" s="1055"/>
      <c r="H7" s="1047" t="s">
        <v>1626</v>
      </c>
      <c r="I7" s="1056"/>
      <c r="J7" s="1047" t="s">
        <v>1626</v>
      </c>
      <c r="K7" s="1044"/>
      <c r="L7" s="1044"/>
      <c r="M7" s="1044"/>
      <c r="N7" s="1044"/>
      <c r="O7" s="1045"/>
      <c r="P7" s="1045"/>
      <c r="Q7" s="1045"/>
      <c r="R7" s="1045"/>
      <c r="S7" s="1045"/>
      <c r="T7" s="1045"/>
      <c r="U7" s="1045"/>
      <c r="V7" s="1045"/>
      <c r="W7" s="1045"/>
      <c r="X7" s="1045"/>
      <c r="Y7" s="1045"/>
      <c r="Z7" s="1045"/>
      <c r="AA7" s="1045"/>
    </row>
    <row r="8" ht="13.5" customHeight="1">
      <c r="A8" s="1046" t="s">
        <v>1627</v>
      </c>
      <c r="B8" s="1057"/>
      <c r="C8" s="1048" t="s">
        <v>1628</v>
      </c>
      <c r="D8" s="1057"/>
      <c r="E8" s="1049" t="s">
        <v>1629</v>
      </c>
      <c r="F8" s="1057"/>
      <c r="G8" s="1050" t="s">
        <v>1630</v>
      </c>
      <c r="H8" s="1057"/>
      <c r="I8" s="1051" t="s">
        <v>1631</v>
      </c>
      <c r="J8" s="1057"/>
      <c r="K8" s="1044"/>
      <c r="L8" s="1044"/>
      <c r="M8" s="1044"/>
      <c r="N8" s="1044"/>
      <c r="O8" s="1045"/>
      <c r="P8" s="1045"/>
      <c r="Q8" s="1045"/>
      <c r="R8" s="1045"/>
      <c r="S8" s="1045"/>
      <c r="T8" s="1045"/>
      <c r="U8" s="1045"/>
      <c r="V8" s="1045"/>
      <c r="W8" s="1045"/>
      <c r="X8" s="1045"/>
      <c r="Y8" s="1045"/>
      <c r="Z8" s="1045"/>
      <c r="AA8" s="1045"/>
    </row>
    <row r="9" ht="13.5" customHeight="1">
      <c r="A9" s="1046" t="s">
        <v>1632</v>
      </c>
      <c r="B9" s="1058" t="s">
        <v>1633</v>
      </c>
      <c r="C9" s="1048" t="s">
        <v>1634</v>
      </c>
      <c r="D9" s="1058" t="s">
        <v>1633</v>
      </c>
      <c r="E9" s="1049" t="s">
        <v>1635</v>
      </c>
      <c r="F9" s="1058" t="s">
        <v>1633</v>
      </c>
      <c r="G9" s="1050" t="s">
        <v>1636</v>
      </c>
      <c r="H9" s="1058" t="s">
        <v>1633</v>
      </c>
      <c r="I9" s="1051" t="s">
        <v>1637</v>
      </c>
      <c r="J9" s="1058" t="s">
        <v>1633</v>
      </c>
      <c r="K9" s="1044"/>
      <c r="L9" s="1044"/>
      <c r="M9" s="1044"/>
      <c r="N9" s="1044"/>
      <c r="O9" s="1045"/>
      <c r="P9" s="1045"/>
      <c r="Q9" s="1045"/>
      <c r="R9" s="1045"/>
      <c r="S9" s="1045"/>
      <c r="T9" s="1045"/>
      <c r="U9" s="1045"/>
      <c r="V9" s="1045"/>
      <c r="W9" s="1045"/>
      <c r="X9" s="1045"/>
      <c r="Y9" s="1045"/>
      <c r="Z9" s="1045"/>
      <c r="AA9" s="1045"/>
    </row>
    <row r="10" ht="13.5" customHeight="1">
      <c r="A10" s="1046" t="s">
        <v>1638</v>
      </c>
      <c r="B10" s="1059" t="s">
        <v>1639</v>
      </c>
      <c r="C10" s="1048" t="s">
        <v>1640</v>
      </c>
      <c r="D10" s="1059" t="s">
        <v>1639</v>
      </c>
      <c r="E10" s="1049" t="s">
        <v>1641</v>
      </c>
      <c r="F10" s="1059" t="s">
        <v>1639</v>
      </c>
      <c r="G10" s="1050" t="s">
        <v>1642</v>
      </c>
      <c r="H10" s="1059" t="s">
        <v>1639</v>
      </c>
      <c r="I10" s="1051" t="s">
        <v>1643</v>
      </c>
      <c r="J10" s="1059" t="s">
        <v>1639</v>
      </c>
      <c r="K10" s="1044"/>
      <c r="L10" s="1044"/>
      <c r="M10" s="1044"/>
      <c r="N10" s="1044"/>
      <c r="O10" s="1045"/>
      <c r="P10" s="1045"/>
      <c r="Q10" s="1045"/>
      <c r="R10" s="1045"/>
      <c r="S10" s="1045"/>
      <c r="T10" s="1045"/>
      <c r="U10" s="1045"/>
      <c r="V10" s="1045"/>
      <c r="W10" s="1045"/>
      <c r="X10" s="1045"/>
      <c r="Y10" s="1045"/>
      <c r="Z10" s="1045"/>
      <c r="AA10" s="1045"/>
    </row>
    <row r="11" ht="13.5" customHeight="1">
      <c r="A11" s="1046" t="s">
        <v>1644</v>
      </c>
      <c r="B11" s="1047" t="s">
        <v>1645</v>
      </c>
      <c r="C11" s="1048" t="s">
        <v>1646</v>
      </c>
      <c r="D11" s="1047" t="s">
        <v>1645</v>
      </c>
      <c r="E11" s="1049" t="s">
        <v>1647</v>
      </c>
      <c r="F11" s="1047" t="s">
        <v>1645</v>
      </c>
      <c r="G11" s="1050" t="s">
        <v>1648</v>
      </c>
      <c r="H11" s="1047" t="s">
        <v>1645</v>
      </c>
      <c r="I11" s="1051" t="s">
        <v>1649</v>
      </c>
      <c r="J11" s="1047" t="s">
        <v>1645</v>
      </c>
      <c r="K11" s="1044"/>
      <c r="L11" s="1044"/>
      <c r="M11" s="1044"/>
      <c r="N11" s="1044"/>
      <c r="O11" s="1045"/>
      <c r="P11" s="1045"/>
      <c r="Q11" s="1045"/>
      <c r="R11" s="1045"/>
      <c r="S11" s="1045"/>
      <c r="T11" s="1045"/>
      <c r="U11" s="1045"/>
      <c r="V11" s="1045"/>
      <c r="W11" s="1045"/>
      <c r="X11" s="1045"/>
      <c r="Y11" s="1045"/>
      <c r="Z11" s="1045"/>
      <c r="AA11" s="1045"/>
    </row>
    <row r="12" ht="13.5" customHeight="1">
      <c r="A12" s="1046" t="s">
        <v>1650</v>
      </c>
      <c r="B12" s="1058" t="s">
        <v>1651</v>
      </c>
      <c r="C12" s="1048" t="s">
        <v>1652</v>
      </c>
      <c r="D12" s="1058" t="s">
        <v>1651</v>
      </c>
      <c r="E12" s="1049" t="s">
        <v>1653</v>
      </c>
      <c r="F12" s="1058" t="s">
        <v>1651</v>
      </c>
      <c r="G12" s="1050" t="s">
        <v>1654</v>
      </c>
      <c r="H12" s="1058" t="s">
        <v>1651</v>
      </c>
      <c r="I12" s="1051" t="s">
        <v>1655</v>
      </c>
      <c r="J12" s="1058" t="s">
        <v>1651</v>
      </c>
      <c r="K12" s="1044"/>
      <c r="L12" s="1044"/>
      <c r="M12" s="1044"/>
      <c r="N12" s="1044"/>
      <c r="O12" s="1045"/>
      <c r="P12" s="1045"/>
      <c r="Q12" s="1045"/>
      <c r="R12" s="1045"/>
      <c r="S12" s="1045"/>
      <c r="T12" s="1045"/>
      <c r="U12" s="1045"/>
      <c r="V12" s="1045"/>
      <c r="W12" s="1045"/>
      <c r="X12" s="1045"/>
      <c r="Y12" s="1045"/>
      <c r="Z12" s="1045"/>
      <c r="AA12" s="1045"/>
    </row>
    <row r="13" ht="13.5" customHeight="1">
      <c r="A13" s="1046" t="s">
        <v>1656</v>
      </c>
      <c r="B13" s="1058" t="s">
        <v>1657</v>
      </c>
      <c r="C13" s="1048" t="s">
        <v>1658</v>
      </c>
      <c r="D13" s="1058" t="s">
        <v>1657</v>
      </c>
      <c r="E13" s="1049" t="s">
        <v>1659</v>
      </c>
      <c r="F13" s="1058" t="s">
        <v>1657</v>
      </c>
      <c r="G13" s="1050" t="s">
        <v>1660</v>
      </c>
      <c r="H13" s="1058" t="s">
        <v>1657</v>
      </c>
      <c r="I13" s="1051" t="s">
        <v>1661</v>
      </c>
      <c r="J13" s="1058" t="s">
        <v>1657</v>
      </c>
      <c r="K13" s="1044"/>
      <c r="L13" s="1044"/>
      <c r="M13" s="1044"/>
      <c r="N13" s="1044"/>
      <c r="O13" s="1045"/>
      <c r="P13" s="1045"/>
      <c r="Q13" s="1045"/>
      <c r="R13" s="1045"/>
      <c r="S13" s="1045"/>
      <c r="T13" s="1045"/>
      <c r="U13" s="1045"/>
      <c r="V13" s="1045"/>
      <c r="W13" s="1045"/>
      <c r="X13" s="1045"/>
      <c r="Y13" s="1045"/>
      <c r="Z13" s="1045"/>
      <c r="AA13" s="1045"/>
    </row>
    <row r="14" ht="13.5" customHeight="1">
      <c r="A14" s="1046" t="s">
        <v>1662</v>
      </c>
      <c r="B14" s="1058" t="s">
        <v>1663</v>
      </c>
      <c r="C14" s="1048" t="s">
        <v>1664</v>
      </c>
      <c r="D14" s="1058" t="s">
        <v>1663</v>
      </c>
      <c r="E14" s="1049" t="s">
        <v>1665</v>
      </c>
      <c r="F14" s="1058" t="s">
        <v>1663</v>
      </c>
      <c r="G14" s="1050" t="s">
        <v>1666</v>
      </c>
      <c r="H14" s="1058" t="s">
        <v>1663</v>
      </c>
      <c r="I14" s="1051" t="s">
        <v>1667</v>
      </c>
      <c r="J14" s="1058" t="s">
        <v>1663</v>
      </c>
      <c r="K14" s="1044"/>
      <c r="L14" s="1044"/>
      <c r="M14" s="1044"/>
      <c r="N14" s="1044"/>
      <c r="O14" s="1045"/>
      <c r="P14" s="1045"/>
      <c r="Q14" s="1045"/>
      <c r="R14" s="1045"/>
      <c r="S14" s="1045"/>
      <c r="T14" s="1045"/>
      <c r="U14" s="1045"/>
      <c r="V14" s="1045"/>
      <c r="W14" s="1045"/>
      <c r="X14" s="1045"/>
      <c r="Y14" s="1045"/>
      <c r="Z14" s="1045"/>
      <c r="AA14" s="1045"/>
    </row>
    <row r="15" ht="13.5" customHeight="1">
      <c r="A15" s="1046" t="s">
        <v>1668</v>
      </c>
      <c r="B15" s="1058" t="s">
        <v>1669</v>
      </c>
      <c r="C15" s="1048" t="s">
        <v>1670</v>
      </c>
      <c r="D15" s="1058" t="s">
        <v>1669</v>
      </c>
      <c r="E15" s="1049" t="s">
        <v>1671</v>
      </c>
      <c r="F15" s="1058" t="s">
        <v>1669</v>
      </c>
      <c r="G15" s="1050" t="s">
        <v>1672</v>
      </c>
      <c r="H15" s="1058" t="s">
        <v>1669</v>
      </c>
      <c r="I15" s="1051" t="s">
        <v>1673</v>
      </c>
      <c r="J15" s="1058" t="s">
        <v>1669</v>
      </c>
      <c r="K15" s="1044"/>
      <c r="L15" s="1044"/>
      <c r="M15" s="1044"/>
      <c r="N15" s="1044"/>
      <c r="O15" s="1045"/>
      <c r="P15" s="1045"/>
      <c r="Q15" s="1045"/>
      <c r="R15" s="1045"/>
      <c r="S15" s="1045"/>
      <c r="T15" s="1045"/>
      <c r="U15" s="1045"/>
      <c r="V15" s="1045"/>
      <c r="W15" s="1045"/>
      <c r="X15" s="1045"/>
      <c r="Y15" s="1045"/>
      <c r="Z15" s="1045"/>
      <c r="AA15" s="1045"/>
    </row>
    <row r="16" ht="13.5" customHeight="1">
      <c r="A16" s="1046" t="s">
        <v>1674</v>
      </c>
      <c r="B16" s="1058" t="s">
        <v>1675</v>
      </c>
      <c r="C16" s="1048" t="s">
        <v>1676</v>
      </c>
      <c r="D16" s="1058" t="s">
        <v>1675</v>
      </c>
      <c r="E16" s="1049" t="s">
        <v>1677</v>
      </c>
      <c r="F16" s="1058" t="s">
        <v>1675</v>
      </c>
      <c r="G16" s="1050" t="s">
        <v>1678</v>
      </c>
      <c r="H16" s="1058" t="s">
        <v>1675</v>
      </c>
      <c r="I16" s="1051" t="s">
        <v>1679</v>
      </c>
      <c r="J16" s="1058" t="s">
        <v>1675</v>
      </c>
      <c r="K16" s="1044"/>
      <c r="L16" s="1044"/>
      <c r="M16" s="1044"/>
      <c r="N16" s="1044"/>
      <c r="O16" s="1045"/>
      <c r="P16" s="1045"/>
      <c r="Q16" s="1045"/>
      <c r="R16" s="1045"/>
      <c r="S16" s="1045"/>
      <c r="T16" s="1045"/>
      <c r="U16" s="1045"/>
      <c r="V16" s="1045"/>
      <c r="W16" s="1045"/>
      <c r="X16" s="1045"/>
      <c r="Y16" s="1045"/>
      <c r="Z16" s="1045"/>
      <c r="AA16" s="1045"/>
    </row>
    <row r="17" ht="13.5" customHeight="1">
      <c r="A17" s="1046" t="s">
        <v>1680</v>
      </c>
      <c r="B17" s="1057"/>
      <c r="C17" s="1048" t="s">
        <v>1681</v>
      </c>
      <c r="D17" s="1057"/>
      <c r="E17" s="1049" t="s">
        <v>1682</v>
      </c>
      <c r="F17" s="1057"/>
      <c r="G17" s="1050" t="s">
        <v>1683</v>
      </c>
      <c r="H17" s="1057"/>
      <c r="I17" s="1051" t="s">
        <v>1684</v>
      </c>
      <c r="J17" s="1057"/>
      <c r="K17" s="1044"/>
      <c r="L17" s="1044"/>
      <c r="M17" s="1044"/>
      <c r="N17" s="1044"/>
      <c r="O17" s="1045"/>
      <c r="P17" s="1045"/>
      <c r="Q17" s="1045"/>
      <c r="R17" s="1045"/>
      <c r="S17" s="1045"/>
      <c r="T17" s="1045"/>
      <c r="U17" s="1045"/>
      <c r="V17" s="1045"/>
      <c r="W17" s="1045"/>
      <c r="X17" s="1045"/>
      <c r="Y17" s="1045"/>
      <c r="Z17" s="1045"/>
      <c r="AA17" s="1045"/>
    </row>
    <row r="18" ht="13.5" customHeight="1">
      <c r="A18" s="1046" t="s">
        <v>1685</v>
      </c>
      <c r="B18" s="1058" t="s">
        <v>1686</v>
      </c>
      <c r="C18" s="1048" t="s">
        <v>1687</v>
      </c>
      <c r="D18" s="1058" t="s">
        <v>1688</v>
      </c>
      <c r="E18" s="1049" t="s">
        <v>1689</v>
      </c>
      <c r="F18" s="1058" t="s">
        <v>1690</v>
      </c>
      <c r="G18" s="1050" t="s">
        <v>1691</v>
      </c>
      <c r="H18" s="1058" t="s">
        <v>1692</v>
      </c>
      <c r="I18" s="1051" t="s">
        <v>1693</v>
      </c>
      <c r="J18" s="1058" t="s">
        <v>1694</v>
      </c>
      <c r="K18" s="1044"/>
      <c r="L18" s="1044"/>
      <c r="M18" s="1044"/>
      <c r="N18" s="1044"/>
      <c r="O18" s="1045"/>
      <c r="P18" s="1045"/>
      <c r="Q18" s="1045"/>
      <c r="R18" s="1045"/>
      <c r="S18" s="1045"/>
      <c r="T18" s="1045"/>
      <c r="U18" s="1045"/>
      <c r="V18" s="1045"/>
      <c r="W18" s="1045"/>
      <c r="X18" s="1045"/>
      <c r="Y18" s="1045"/>
      <c r="Z18" s="1045"/>
      <c r="AA18" s="1045"/>
    </row>
    <row r="19" ht="13.5" customHeight="1">
      <c r="A19" s="1046" t="s">
        <v>1695</v>
      </c>
      <c r="B19" s="1058" t="s">
        <v>1696</v>
      </c>
      <c r="C19" s="1048" t="s">
        <v>1697</v>
      </c>
      <c r="D19" s="1058" t="s">
        <v>1698</v>
      </c>
      <c r="E19" s="1049" t="s">
        <v>1699</v>
      </c>
      <c r="F19" s="1058" t="s">
        <v>1700</v>
      </c>
      <c r="G19" s="1050" t="s">
        <v>1701</v>
      </c>
      <c r="H19" s="1058" t="s">
        <v>1702</v>
      </c>
      <c r="I19" s="1051" t="s">
        <v>1703</v>
      </c>
      <c r="J19" s="1058" t="s">
        <v>1704</v>
      </c>
      <c r="K19" s="1044"/>
      <c r="L19" s="1044"/>
      <c r="M19" s="1044"/>
      <c r="N19" s="1044"/>
      <c r="O19" s="1045"/>
      <c r="P19" s="1045"/>
      <c r="Q19" s="1045"/>
      <c r="R19" s="1045"/>
      <c r="S19" s="1045"/>
      <c r="T19" s="1045"/>
      <c r="U19" s="1045"/>
      <c r="V19" s="1045"/>
      <c r="W19" s="1045"/>
      <c r="X19" s="1045"/>
      <c r="Y19" s="1045"/>
      <c r="Z19" s="1045"/>
      <c r="AA19" s="1045"/>
    </row>
    <row r="20" ht="13.5" customHeight="1">
      <c r="A20" s="1046" t="s">
        <v>1705</v>
      </c>
      <c r="B20" s="1058" t="s">
        <v>1706</v>
      </c>
      <c r="C20" s="1048" t="s">
        <v>1707</v>
      </c>
      <c r="D20" s="1058" t="s">
        <v>1708</v>
      </c>
      <c r="E20" s="1049" t="s">
        <v>1709</v>
      </c>
      <c r="F20" s="1058" t="s">
        <v>1710</v>
      </c>
      <c r="G20" s="1050" t="s">
        <v>1711</v>
      </c>
      <c r="H20" s="1058" t="s">
        <v>1712</v>
      </c>
      <c r="I20" s="1051" t="s">
        <v>1713</v>
      </c>
      <c r="J20" s="1058" t="s">
        <v>1714</v>
      </c>
      <c r="K20" s="1044"/>
      <c r="L20" s="1044"/>
      <c r="M20" s="1044"/>
      <c r="N20" s="1044"/>
      <c r="O20" s="1045"/>
      <c r="P20" s="1045"/>
      <c r="Q20" s="1045"/>
      <c r="R20" s="1045"/>
      <c r="S20" s="1045"/>
      <c r="T20" s="1045"/>
      <c r="U20" s="1045"/>
      <c r="V20" s="1045"/>
      <c r="W20" s="1045"/>
      <c r="X20" s="1045"/>
      <c r="Y20" s="1045"/>
      <c r="Z20" s="1045"/>
      <c r="AA20" s="1045"/>
    </row>
    <row r="21" ht="13.5" customHeight="1">
      <c r="A21" s="1046" t="s">
        <v>1715</v>
      </c>
      <c r="B21" s="1058" t="s">
        <v>1716</v>
      </c>
      <c r="C21" s="1048" t="s">
        <v>1717</v>
      </c>
      <c r="D21" s="1058" t="s">
        <v>1718</v>
      </c>
      <c r="E21" s="1049" t="s">
        <v>1719</v>
      </c>
      <c r="F21" s="1058" t="s">
        <v>1720</v>
      </c>
      <c r="G21" s="1050" t="s">
        <v>1721</v>
      </c>
      <c r="H21" s="1058" t="s">
        <v>1722</v>
      </c>
      <c r="I21" s="1051" t="s">
        <v>1723</v>
      </c>
      <c r="J21" s="1058" t="s">
        <v>1724</v>
      </c>
      <c r="K21" s="1044"/>
      <c r="L21" s="1044"/>
      <c r="M21" s="1044"/>
      <c r="N21" s="1044"/>
      <c r="O21" s="1045"/>
      <c r="P21" s="1045"/>
      <c r="Q21" s="1045"/>
      <c r="R21" s="1045"/>
      <c r="S21" s="1045"/>
      <c r="T21" s="1045"/>
      <c r="U21" s="1045"/>
      <c r="V21" s="1045"/>
      <c r="W21" s="1045"/>
      <c r="X21" s="1045"/>
      <c r="Y21" s="1045"/>
      <c r="Z21" s="1045"/>
      <c r="AA21" s="1045"/>
    </row>
    <row r="22">
      <c r="A22" s="1060" t="s">
        <v>1725</v>
      </c>
      <c r="B22" s="1058" t="s">
        <v>1726</v>
      </c>
      <c r="C22" s="1048" t="s">
        <v>1727</v>
      </c>
      <c r="D22" s="1058" t="s">
        <v>1728</v>
      </c>
      <c r="E22" s="1049" t="s">
        <v>1729</v>
      </c>
      <c r="F22" s="1058" t="s">
        <v>1730</v>
      </c>
      <c r="G22" s="1050" t="s">
        <v>1731</v>
      </c>
      <c r="H22" s="1058" t="s">
        <v>1732</v>
      </c>
      <c r="I22" s="1051" t="s">
        <v>1733</v>
      </c>
      <c r="J22" s="1058" t="s">
        <v>1734</v>
      </c>
      <c r="K22" s="610"/>
      <c r="L22" s="610"/>
      <c r="M22" s="610"/>
      <c r="N22" s="610"/>
    </row>
    <row r="23">
      <c r="A23" s="1060" t="s">
        <v>1735</v>
      </c>
      <c r="B23" s="1047" t="s">
        <v>1736</v>
      </c>
      <c r="C23" s="1048" t="s">
        <v>1737</v>
      </c>
      <c r="D23" s="1047" t="s">
        <v>1736</v>
      </c>
      <c r="E23" s="1049" t="s">
        <v>1738</v>
      </c>
      <c r="F23" s="1047" t="s">
        <v>1736</v>
      </c>
      <c r="G23" s="1050" t="s">
        <v>1739</v>
      </c>
      <c r="H23" s="1047" t="s">
        <v>1736</v>
      </c>
      <c r="I23" s="1051" t="s">
        <v>1740</v>
      </c>
      <c r="J23" s="1047" t="s">
        <v>1736</v>
      </c>
      <c r="K23" s="610"/>
      <c r="L23" s="610"/>
      <c r="M23" s="610"/>
      <c r="N23" s="610"/>
    </row>
    <row r="24">
      <c r="A24" s="1060" t="s">
        <v>1741</v>
      </c>
      <c r="B24" s="1047" t="s">
        <v>1742</v>
      </c>
      <c r="C24" s="1048" t="s">
        <v>1743</v>
      </c>
      <c r="D24" s="1047" t="s">
        <v>1742</v>
      </c>
      <c r="E24" s="1049" t="s">
        <v>1744</v>
      </c>
      <c r="F24" s="1047" t="s">
        <v>1742</v>
      </c>
      <c r="G24" s="1050" t="s">
        <v>1745</v>
      </c>
      <c r="H24" s="1047" t="s">
        <v>1742</v>
      </c>
      <c r="I24" s="1051" t="s">
        <v>1746</v>
      </c>
      <c r="J24" s="1047" t="s">
        <v>1742</v>
      </c>
      <c r="K24" s="610"/>
      <c r="L24" s="610"/>
      <c r="M24" s="610"/>
      <c r="N24" s="610"/>
    </row>
    <row r="25">
      <c r="A25" s="1060" t="s">
        <v>1747</v>
      </c>
      <c r="B25" s="1047" t="s">
        <v>1399</v>
      </c>
      <c r="C25" s="1048" t="s">
        <v>1748</v>
      </c>
      <c r="D25" s="1047" t="s">
        <v>1399</v>
      </c>
      <c r="E25" s="1049" t="s">
        <v>1749</v>
      </c>
      <c r="F25" s="1047" t="s">
        <v>1399</v>
      </c>
      <c r="G25" s="1050" t="s">
        <v>1750</v>
      </c>
      <c r="H25" s="1047" t="s">
        <v>1399</v>
      </c>
      <c r="I25" s="1051" t="s">
        <v>1751</v>
      </c>
      <c r="J25" s="1047" t="s">
        <v>1399</v>
      </c>
      <c r="K25" s="612"/>
      <c r="L25" s="610"/>
      <c r="M25" s="610"/>
      <c r="N25" s="610"/>
    </row>
    <row r="26">
      <c r="A26" s="612"/>
      <c r="B26" s="610"/>
      <c r="D26" s="612"/>
      <c r="E26" s="612"/>
      <c r="F26" s="1061"/>
      <c r="G26" s="1061"/>
      <c r="H26" s="1061"/>
      <c r="I26" s="612"/>
      <c r="J26" s="612"/>
      <c r="K26" s="612"/>
      <c r="L26" s="610"/>
      <c r="M26" s="610"/>
      <c r="N26" s="610"/>
    </row>
    <row r="27">
      <c r="A27" s="612"/>
      <c r="B27" s="610"/>
      <c r="D27" s="612"/>
      <c r="E27" s="612"/>
      <c r="F27" s="1061"/>
      <c r="G27" s="1061"/>
      <c r="H27" s="1061"/>
      <c r="I27" s="612"/>
      <c r="J27" s="612"/>
      <c r="K27" s="612"/>
      <c r="L27" s="610"/>
      <c r="M27" s="610"/>
      <c r="N27" s="610"/>
    </row>
    <row r="28">
      <c r="A28" s="1062" t="s">
        <v>1752</v>
      </c>
      <c r="B28" s="173"/>
      <c r="C28" s="174"/>
      <c r="D28" s="59"/>
      <c r="E28" s="1062" t="s">
        <v>1753</v>
      </c>
      <c r="F28" s="173"/>
      <c r="G28" s="174"/>
      <c r="H28" s="59"/>
      <c r="I28" s="1063" t="s">
        <v>1754</v>
      </c>
      <c r="J28" s="465"/>
      <c r="K28" s="69"/>
    </row>
    <row r="29">
      <c r="A29" s="1058" t="s">
        <v>1755</v>
      </c>
      <c r="B29" s="1064" t="s">
        <v>1756</v>
      </c>
      <c r="C29" s="174"/>
      <c r="D29" s="59"/>
      <c r="E29" s="1065" t="s">
        <v>1757</v>
      </c>
      <c r="F29" s="1066" t="s">
        <v>1758</v>
      </c>
      <c r="G29" s="69"/>
      <c r="H29" s="59"/>
      <c r="I29" s="1067" t="s">
        <v>1759</v>
      </c>
      <c r="J29" s="1066" t="s">
        <v>1760</v>
      </c>
      <c r="K29" s="69"/>
    </row>
    <row r="30">
      <c r="A30" s="1059" t="s">
        <v>1761</v>
      </c>
      <c r="B30" s="1068" t="s">
        <v>1762</v>
      </c>
      <c r="C30" s="69"/>
      <c r="D30" s="59"/>
      <c r="E30" s="1065" t="s">
        <v>1763</v>
      </c>
      <c r="F30" s="1066" t="s">
        <v>1764</v>
      </c>
      <c r="G30" s="69"/>
      <c r="H30" s="59"/>
      <c r="I30" s="1067" t="s">
        <v>1765</v>
      </c>
      <c r="J30" s="1066" t="s">
        <v>1766</v>
      </c>
      <c r="K30" s="69"/>
    </row>
    <row r="31">
      <c r="A31" s="1069"/>
      <c r="B31" s="1070"/>
      <c r="C31" s="69"/>
      <c r="D31" s="59"/>
      <c r="E31" s="1065" t="s">
        <v>1767</v>
      </c>
      <c r="F31" s="1066" t="s">
        <v>1768</v>
      </c>
      <c r="G31" s="69"/>
      <c r="H31" s="59"/>
      <c r="I31" s="59"/>
      <c r="J31" s="59"/>
      <c r="K31" s="59"/>
    </row>
    <row r="32">
      <c r="A32" s="1059" t="s">
        <v>1769</v>
      </c>
      <c r="B32" s="1068" t="s">
        <v>1770</v>
      </c>
      <c r="C32" s="69"/>
      <c r="D32" s="59"/>
      <c r="E32" s="1065" t="s">
        <v>1771</v>
      </c>
      <c r="F32" s="1066" t="s">
        <v>1772</v>
      </c>
      <c r="G32" s="69"/>
      <c r="H32" s="59"/>
      <c r="I32" s="59"/>
      <c r="J32" s="59"/>
      <c r="K32" s="59"/>
    </row>
    <row r="33">
      <c r="A33" s="1059" t="s">
        <v>1773</v>
      </c>
      <c r="B33" s="1068" t="s">
        <v>1774</v>
      </c>
      <c r="C33" s="69"/>
      <c r="D33" s="59"/>
      <c r="E33" s="1047" t="s">
        <v>1775</v>
      </c>
      <c r="F33" s="1071" t="s">
        <v>1776</v>
      </c>
      <c r="G33" s="174"/>
      <c r="H33" s="59"/>
      <c r="I33" s="59"/>
      <c r="J33" s="59"/>
      <c r="K33" s="59"/>
    </row>
    <row r="34">
      <c r="A34" s="1057"/>
      <c r="B34" s="1072"/>
      <c r="C34" s="174"/>
      <c r="E34" s="1047" t="s">
        <v>1777</v>
      </c>
      <c r="F34" s="1071" t="s">
        <v>1778</v>
      </c>
      <c r="G34" s="174"/>
    </row>
    <row r="35">
      <c r="A35" s="1058" t="s">
        <v>1779</v>
      </c>
      <c r="B35" s="1064" t="s">
        <v>1780</v>
      </c>
      <c r="C35" s="174"/>
      <c r="E35" s="1057"/>
      <c r="F35" s="1072"/>
      <c r="G35" s="174"/>
    </row>
    <row r="36">
      <c r="A36" s="1059" t="s">
        <v>1781</v>
      </c>
      <c r="B36" s="1068" t="s">
        <v>1633</v>
      </c>
      <c r="C36" s="69"/>
      <c r="E36" s="1073" t="s">
        <v>1782</v>
      </c>
      <c r="F36" s="1074" t="s">
        <v>1783</v>
      </c>
      <c r="G36" s="527"/>
    </row>
    <row r="37">
      <c r="A37" s="1059" t="s">
        <v>1784</v>
      </c>
      <c r="B37" s="1068" t="s">
        <v>1785</v>
      </c>
      <c r="C37" s="69"/>
    </row>
    <row r="38">
      <c r="A38" s="1058" t="s">
        <v>1786</v>
      </c>
      <c r="B38" s="1075" t="s">
        <v>1787</v>
      </c>
      <c r="C38" s="174"/>
    </row>
  </sheetData>
  <mergeCells count="30">
    <mergeCell ref="A3:B3"/>
    <mergeCell ref="C3:D3"/>
    <mergeCell ref="E3:F3"/>
    <mergeCell ref="G3:H3"/>
    <mergeCell ref="I3:J3"/>
    <mergeCell ref="B26:C26"/>
    <mergeCell ref="B27:C27"/>
    <mergeCell ref="J29:K29"/>
    <mergeCell ref="J30:K30"/>
    <mergeCell ref="F30:G30"/>
    <mergeCell ref="F31:G31"/>
    <mergeCell ref="A28:C28"/>
    <mergeCell ref="E28:G28"/>
    <mergeCell ref="I28:K28"/>
    <mergeCell ref="B29:C29"/>
    <mergeCell ref="F29:G29"/>
    <mergeCell ref="B30:C30"/>
    <mergeCell ref="B31:C31"/>
    <mergeCell ref="B35:C35"/>
    <mergeCell ref="B36:C36"/>
    <mergeCell ref="B37:C37"/>
    <mergeCell ref="B38:C38"/>
    <mergeCell ref="B32:C32"/>
    <mergeCell ref="F32:G32"/>
    <mergeCell ref="B33:C33"/>
    <mergeCell ref="F33:G33"/>
    <mergeCell ref="B34:C34"/>
    <mergeCell ref="F34:G34"/>
    <mergeCell ref="F35:G35"/>
    <mergeCell ref="F36:G36"/>
  </mergeCells>
  <hyperlinks>
    <hyperlink r:id="rId2" location="gid=1022873377" ref="A1"/>
  </hyperlinks>
  <drawing r:id="rId3"/>
  <legacyDrawing r:id="rId4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2.88"/>
  </cols>
  <sheetData>
    <row r="1">
      <c r="A1" s="1076" t="s">
        <v>1788</v>
      </c>
    </row>
  </sheetData>
  <mergeCells count="1">
    <mergeCell ref="A1:A2"/>
  </mergeCells>
  <hyperlinks>
    <hyperlink r:id="rId1" location="gid=0" ref="A1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0.13"/>
  </cols>
  <sheetData>
    <row r="1">
      <c r="A1" s="1077" t="s">
        <v>1789</v>
      </c>
    </row>
    <row r="4">
      <c r="A4" s="242"/>
    </row>
  </sheetData>
  <hyperlinks>
    <hyperlink r:id="rId1" location="gid=1644637481" ref="A1"/>
  </hyperlin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1.38"/>
    <col customWidth="1" min="3" max="3" width="36.63"/>
    <col customWidth="1" min="4" max="4" width="32.63"/>
    <col customWidth="1" min="5" max="5" width="42.13"/>
    <col customWidth="1" min="7" max="7" width="41.13"/>
  </cols>
  <sheetData>
    <row r="1">
      <c r="A1" s="1078" t="s">
        <v>1790</v>
      </c>
      <c r="B1" s="1079" t="s">
        <v>1791</v>
      </c>
      <c r="C1" s="1079" t="s">
        <v>1792</v>
      </c>
      <c r="D1" s="1079" t="s">
        <v>1793</v>
      </c>
      <c r="E1" s="1079" t="s">
        <v>1794</v>
      </c>
      <c r="F1" s="1079" t="s">
        <v>1795</v>
      </c>
      <c r="G1" s="1079" t="s">
        <v>1796</v>
      </c>
      <c r="H1" s="1079" t="s">
        <v>1797</v>
      </c>
      <c r="I1" s="1079" t="s">
        <v>1798</v>
      </c>
      <c r="J1" s="1079" t="s">
        <v>182</v>
      </c>
      <c r="K1" s="1079" t="s">
        <v>1799</v>
      </c>
      <c r="L1" s="1079" t="s">
        <v>1800</v>
      </c>
      <c r="M1" s="1079" t="s">
        <v>1801</v>
      </c>
    </row>
    <row r="2">
      <c r="A2" s="1080" t="s">
        <v>1802</v>
      </c>
      <c r="B2" s="1081" t="s">
        <v>1803</v>
      </c>
      <c r="C2" s="1082" t="s">
        <v>1804</v>
      </c>
      <c r="D2" s="1082" t="s">
        <v>1805</v>
      </c>
      <c r="E2" s="1081" t="s">
        <v>1806</v>
      </c>
      <c r="F2" s="1081" t="s">
        <v>543</v>
      </c>
      <c r="G2" s="1081" t="s">
        <v>1807</v>
      </c>
      <c r="H2" s="1083"/>
      <c r="I2" s="1081" t="s">
        <v>1808</v>
      </c>
      <c r="J2" s="1084" t="s">
        <v>1809</v>
      </c>
      <c r="K2" s="1081" t="s">
        <v>1810</v>
      </c>
      <c r="L2" s="1081" t="s">
        <v>1811</v>
      </c>
      <c r="M2" s="1081" t="s">
        <v>1812</v>
      </c>
    </row>
    <row r="3">
      <c r="A3" s="146"/>
      <c r="B3" s="1085"/>
      <c r="C3" s="59"/>
      <c r="D3" s="1086"/>
      <c r="E3" s="59"/>
      <c r="F3" s="59"/>
      <c r="G3" s="59"/>
      <c r="H3" s="59"/>
      <c r="I3" s="59"/>
      <c r="J3" s="59"/>
    </row>
    <row r="4">
      <c r="A4" s="146"/>
      <c r="B4" s="146"/>
      <c r="C4" s="59"/>
      <c r="D4" s="1087"/>
      <c r="E4" s="59"/>
      <c r="F4" s="59"/>
      <c r="G4" s="59"/>
      <c r="H4" s="59"/>
      <c r="I4" s="59"/>
      <c r="J4" s="59"/>
    </row>
    <row r="5">
      <c r="A5" s="146"/>
      <c r="B5" s="146"/>
      <c r="C5" s="59"/>
      <c r="D5" s="1088"/>
      <c r="E5" s="59"/>
      <c r="F5" s="59"/>
      <c r="G5" s="59"/>
      <c r="H5" s="59"/>
      <c r="I5" s="59"/>
      <c r="J5" s="59"/>
    </row>
    <row r="6">
      <c r="A6" s="146"/>
      <c r="B6" s="146"/>
      <c r="C6" s="146"/>
      <c r="D6" s="1087"/>
      <c r="E6" s="59"/>
      <c r="F6" s="59"/>
      <c r="G6" s="59"/>
      <c r="H6" s="59"/>
      <c r="I6" s="59"/>
      <c r="J6" s="59"/>
    </row>
    <row r="7">
      <c r="A7" s="146"/>
      <c r="B7" s="146"/>
      <c r="C7" s="146"/>
      <c r="D7" s="1089"/>
      <c r="E7" s="59"/>
      <c r="F7" s="59"/>
      <c r="G7" s="59"/>
      <c r="H7" s="59"/>
      <c r="I7" s="59"/>
      <c r="J7" s="59"/>
    </row>
    <row r="8">
      <c r="A8" s="146"/>
      <c r="B8" s="146"/>
      <c r="C8" s="146"/>
      <c r="D8" s="146"/>
      <c r="E8" s="59"/>
      <c r="F8" s="59"/>
      <c r="G8" s="59"/>
      <c r="H8" s="59"/>
      <c r="I8" s="59"/>
      <c r="J8" s="59"/>
    </row>
    <row r="9">
      <c r="A9" s="146"/>
      <c r="B9" s="146"/>
      <c r="C9" s="146"/>
      <c r="D9" s="146"/>
      <c r="E9" s="59"/>
      <c r="F9" s="59"/>
      <c r="G9" s="59"/>
      <c r="H9" s="59"/>
      <c r="I9" s="59"/>
      <c r="J9" s="59"/>
    </row>
    <row r="10">
      <c r="A10" s="146"/>
      <c r="B10" s="146"/>
      <c r="C10" s="146"/>
      <c r="D10" s="146"/>
      <c r="E10" s="59"/>
      <c r="F10" s="59"/>
      <c r="G10" s="59"/>
      <c r="H10" s="59"/>
      <c r="I10" s="59"/>
      <c r="J10" s="59"/>
    </row>
    <row r="11">
      <c r="A11" s="146"/>
      <c r="B11" s="146"/>
      <c r="C11" s="146"/>
      <c r="D11" s="146"/>
      <c r="E11" s="59"/>
      <c r="F11" s="59"/>
      <c r="G11" s="59"/>
      <c r="H11" s="59"/>
      <c r="I11" s="59"/>
      <c r="J11" s="59"/>
    </row>
    <row r="12">
      <c r="A12" s="146"/>
      <c r="B12" s="146"/>
      <c r="C12" s="1090"/>
      <c r="D12" s="146"/>
      <c r="E12" s="59"/>
      <c r="F12" s="59"/>
      <c r="G12" s="59"/>
      <c r="H12" s="59"/>
      <c r="I12" s="59"/>
      <c r="J12" s="59"/>
    </row>
    <row r="13">
      <c r="A13" s="146"/>
      <c r="B13" s="146"/>
      <c r="C13" s="1086"/>
      <c r="D13" s="146"/>
      <c r="E13" s="59"/>
      <c r="F13" s="59"/>
      <c r="G13" s="59"/>
      <c r="H13" s="59"/>
      <c r="I13" s="59"/>
      <c r="J13" s="59"/>
    </row>
    <row r="14">
      <c r="A14" s="146"/>
      <c r="B14" s="146"/>
      <c r="C14" s="1087"/>
      <c r="D14" s="146"/>
      <c r="E14" s="59"/>
      <c r="F14" s="59"/>
      <c r="G14" s="59"/>
      <c r="H14" s="59"/>
      <c r="I14" s="59"/>
      <c r="J14" s="59"/>
    </row>
    <row r="15">
      <c r="A15" s="146"/>
      <c r="B15" s="146"/>
      <c r="C15" s="1089"/>
      <c r="D15" s="146"/>
      <c r="E15" s="59"/>
      <c r="F15" s="59"/>
      <c r="G15" s="59"/>
      <c r="H15" s="59"/>
      <c r="I15" s="59"/>
      <c r="J15" s="59"/>
    </row>
    <row r="16">
      <c r="A16" s="146"/>
      <c r="B16" s="146"/>
      <c r="C16" s="146"/>
      <c r="D16" s="146"/>
      <c r="E16" s="59"/>
      <c r="F16" s="59"/>
      <c r="G16" s="59"/>
      <c r="H16" s="59"/>
      <c r="I16" s="59"/>
      <c r="J16" s="59"/>
    </row>
    <row r="17">
      <c r="A17" s="146"/>
      <c r="B17" s="146"/>
      <c r="C17" s="146"/>
      <c r="D17" s="146"/>
      <c r="E17" s="59"/>
      <c r="F17" s="59"/>
      <c r="G17" s="59"/>
      <c r="H17" s="59"/>
      <c r="I17" s="59"/>
      <c r="J17" s="59"/>
    </row>
    <row r="18">
      <c r="A18" s="146"/>
      <c r="B18" s="146"/>
      <c r="C18" s="146"/>
      <c r="D18" s="146"/>
      <c r="E18" s="59"/>
      <c r="F18" s="59"/>
      <c r="G18" s="59"/>
      <c r="H18" s="59"/>
      <c r="I18" s="59"/>
      <c r="J18" s="59"/>
    </row>
    <row r="19">
      <c r="A19" s="146"/>
      <c r="B19" s="146"/>
      <c r="C19" s="146"/>
      <c r="D19" s="146"/>
      <c r="E19" s="59"/>
      <c r="F19" s="59"/>
      <c r="G19" s="59"/>
      <c r="H19" s="59"/>
      <c r="I19" s="59"/>
      <c r="J19" s="59"/>
    </row>
    <row r="20">
      <c r="A20" s="146"/>
      <c r="B20" s="146"/>
      <c r="C20" s="146"/>
      <c r="D20" s="146"/>
      <c r="E20" s="59"/>
      <c r="F20" s="59"/>
      <c r="G20" s="59"/>
      <c r="H20" s="59"/>
      <c r="I20" s="59"/>
      <c r="J20" s="59"/>
    </row>
    <row r="21">
      <c r="A21" s="59"/>
      <c r="B21" s="1085"/>
      <c r="C21" s="59"/>
      <c r="D21" s="59"/>
      <c r="E21" s="59"/>
      <c r="F21" s="59"/>
      <c r="G21" s="59"/>
      <c r="H21" s="59"/>
      <c r="I21" s="59"/>
      <c r="J21" s="59"/>
    </row>
    <row r="22">
      <c r="A22" s="59"/>
      <c r="B22" s="146"/>
      <c r="C22" s="59"/>
      <c r="D22" s="59"/>
      <c r="E22" s="59"/>
      <c r="F22" s="59"/>
      <c r="G22" s="59"/>
      <c r="H22" s="59"/>
      <c r="I22" s="59"/>
      <c r="J22" s="59"/>
    </row>
    <row r="23">
      <c r="A23" s="59"/>
      <c r="B23" s="1085"/>
      <c r="C23" s="59"/>
      <c r="D23" s="59"/>
      <c r="E23" s="59"/>
      <c r="F23" s="59"/>
      <c r="G23" s="59"/>
      <c r="H23" s="59"/>
      <c r="I23" s="59"/>
      <c r="J23" s="59"/>
    </row>
    <row r="24">
      <c r="A24" s="59"/>
      <c r="B24" s="1085"/>
      <c r="C24" s="59"/>
      <c r="D24" s="59"/>
      <c r="E24" s="59"/>
      <c r="F24" s="59"/>
      <c r="G24" s="59"/>
      <c r="H24" s="59"/>
      <c r="I24" s="59"/>
      <c r="J24" s="59"/>
    </row>
    <row r="25">
      <c r="A25" s="59"/>
      <c r="B25" s="1085"/>
      <c r="C25" s="59"/>
      <c r="D25" s="59"/>
      <c r="E25" s="59"/>
      <c r="F25" s="59"/>
      <c r="G25" s="59"/>
      <c r="H25" s="59"/>
      <c r="I25" s="59"/>
      <c r="J25" s="59"/>
    </row>
    <row r="26">
      <c r="A26" s="59"/>
      <c r="B26" s="1085"/>
      <c r="C26" s="59"/>
      <c r="D26" s="59"/>
      <c r="E26" s="59"/>
      <c r="F26" s="59"/>
      <c r="G26" s="59"/>
      <c r="H26" s="59"/>
      <c r="I26" s="59"/>
      <c r="J26" s="59"/>
    </row>
    <row r="27">
      <c r="A27" s="59"/>
      <c r="B27" s="1085"/>
      <c r="C27" s="59"/>
      <c r="D27" s="59"/>
      <c r="E27" s="59"/>
      <c r="F27" s="59"/>
      <c r="G27" s="59"/>
      <c r="H27" s="59"/>
      <c r="I27" s="59"/>
      <c r="J27" s="59"/>
    </row>
    <row r="28">
      <c r="A28" s="59"/>
      <c r="B28" s="1085"/>
      <c r="C28" s="59"/>
      <c r="D28" s="59"/>
      <c r="E28" s="59"/>
      <c r="F28" s="59"/>
      <c r="G28" s="59"/>
      <c r="H28" s="59"/>
      <c r="I28" s="59"/>
      <c r="J28" s="59"/>
    </row>
    <row r="29">
      <c r="A29" s="59"/>
      <c r="B29" s="1091"/>
      <c r="C29" s="59"/>
      <c r="D29" s="59"/>
      <c r="E29" s="59"/>
      <c r="F29" s="59"/>
      <c r="G29" s="59"/>
      <c r="H29" s="59"/>
      <c r="I29" s="59"/>
      <c r="J29" s="59"/>
    </row>
    <row r="30">
      <c r="A30" s="59"/>
      <c r="B30" s="1085"/>
      <c r="C30" s="59"/>
      <c r="D30" s="59"/>
      <c r="E30" s="59"/>
      <c r="F30" s="59"/>
      <c r="G30" s="59"/>
      <c r="H30" s="59"/>
      <c r="I30" s="59"/>
      <c r="J30" s="59"/>
    </row>
    <row r="31">
      <c r="A31" s="59"/>
      <c r="B31" s="146"/>
      <c r="C31" s="59"/>
      <c r="D31" s="59"/>
      <c r="E31" s="59"/>
      <c r="F31" s="59"/>
      <c r="G31" s="59"/>
      <c r="H31" s="59"/>
      <c r="I31" s="59"/>
      <c r="J31" s="59"/>
    </row>
    <row r="32">
      <c r="A32" s="59"/>
      <c r="B32" s="1085"/>
      <c r="C32" s="59"/>
      <c r="D32" s="59"/>
      <c r="E32" s="59"/>
      <c r="F32" s="59"/>
      <c r="G32" s="59"/>
      <c r="H32" s="59"/>
      <c r="I32" s="59"/>
      <c r="J32" s="59"/>
    </row>
    <row r="33">
      <c r="A33" s="59"/>
      <c r="B33" s="1085"/>
      <c r="C33" s="59"/>
      <c r="D33" s="59"/>
      <c r="E33" s="59"/>
      <c r="F33" s="59"/>
      <c r="G33" s="59"/>
      <c r="H33" s="59"/>
      <c r="I33" s="59"/>
      <c r="J33" s="59"/>
    </row>
    <row r="34">
      <c r="A34" s="59"/>
      <c r="B34" s="1085"/>
      <c r="C34" s="59"/>
      <c r="D34" s="59"/>
      <c r="E34" s="59"/>
      <c r="F34" s="59"/>
      <c r="G34" s="59"/>
      <c r="H34" s="59"/>
      <c r="I34" s="59"/>
      <c r="J34" s="59"/>
    </row>
    <row r="35">
      <c r="A35" s="59"/>
      <c r="B35" s="1085"/>
      <c r="C35" s="59"/>
      <c r="D35" s="59"/>
      <c r="E35" s="59"/>
      <c r="F35" s="59"/>
      <c r="G35" s="59"/>
      <c r="H35" s="59"/>
      <c r="I35" s="59"/>
      <c r="J35" s="59"/>
    </row>
    <row r="36">
      <c r="A36" s="146"/>
      <c r="B36" s="1085"/>
      <c r="C36" s="59"/>
      <c r="D36" s="59"/>
      <c r="E36" s="59"/>
      <c r="F36" s="59"/>
      <c r="G36" s="59"/>
      <c r="H36" s="59"/>
      <c r="I36" s="59"/>
      <c r="J36" s="59"/>
    </row>
    <row r="37">
      <c r="A37" s="59"/>
      <c r="B37" s="1092"/>
      <c r="C37" s="1091"/>
      <c r="D37" s="59"/>
      <c r="E37" s="59"/>
      <c r="F37" s="59"/>
      <c r="G37" s="59"/>
      <c r="H37" s="59"/>
      <c r="I37" s="59"/>
      <c r="J37" s="59"/>
    </row>
    <row r="38">
      <c r="A38" s="59"/>
      <c r="B38" s="1085"/>
      <c r="C38" s="59"/>
      <c r="D38" s="59"/>
      <c r="E38" s="59"/>
      <c r="F38" s="59"/>
      <c r="G38" s="59"/>
      <c r="H38" s="59"/>
      <c r="I38" s="59"/>
      <c r="J38" s="59"/>
    </row>
    <row r="39">
      <c r="A39" s="59"/>
      <c r="B39" s="1085"/>
      <c r="C39" s="59"/>
      <c r="D39" s="59"/>
      <c r="E39" s="59"/>
      <c r="F39" s="59"/>
      <c r="G39" s="59"/>
      <c r="H39" s="59"/>
      <c r="I39" s="59"/>
      <c r="J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</row>
  </sheetData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1.88"/>
    <col customWidth="1" min="3" max="3" width="18.13"/>
    <col customWidth="1" min="4" max="4" width="11.63"/>
    <col customWidth="1" min="5" max="5" width="14.63"/>
    <col customWidth="1" min="6" max="6" width="18.25"/>
    <col customWidth="1" min="7" max="7" width="6.88"/>
    <col customWidth="1" min="8" max="8" width="13.13"/>
    <col customWidth="1" min="9" max="9" width="7.13"/>
    <col customWidth="1" min="10" max="10" width="11.25"/>
    <col customWidth="1" min="11" max="11" width="24.13"/>
    <col customWidth="1" min="12" max="12" width="16.38"/>
    <col customWidth="1" min="14" max="14" width="18.0"/>
  </cols>
  <sheetData>
    <row r="1">
      <c r="A1" s="1093" t="s">
        <v>1813</v>
      </c>
      <c r="B1" s="1094"/>
      <c r="C1" s="1094"/>
      <c r="D1" s="1094"/>
      <c r="E1" s="1094"/>
      <c r="F1" s="1094"/>
      <c r="G1" s="1094"/>
      <c r="H1" s="1094"/>
      <c r="I1" s="1094"/>
      <c r="J1" s="1094"/>
      <c r="K1" s="1094"/>
    </row>
    <row r="2">
      <c r="A2" s="316" t="s">
        <v>440</v>
      </c>
      <c r="B2" s="316" t="s">
        <v>452</v>
      </c>
      <c r="C2" s="316" t="s">
        <v>441</v>
      </c>
      <c r="D2" s="316" t="s">
        <v>512</v>
      </c>
      <c r="E2" s="316" t="s">
        <v>1814</v>
      </c>
      <c r="F2" s="316" t="s">
        <v>444</v>
      </c>
      <c r="G2" s="1095" t="s">
        <v>1815</v>
      </c>
      <c r="H2" s="316" t="s">
        <v>444</v>
      </c>
      <c r="I2" s="1095" t="s">
        <v>1815</v>
      </c>
      <c r="J2" s="316" t="s">
        <v>234</v>
      </c>
      <c r="K2" s="316" t="s">
        <v>70</v>
      </c>
    </row>
    <row r="3">
      <c r="A3" s="324" t="s">
        <v>647</v>
      </c>
      <c r="B3" s="319" t="s">
        <v>517</v>
      </c>
      <c r="C3" s="319" t="s">
        <v>1816</v>
      </c>
      <c r="D3" s="324" t="s">
        <v>1817</v>
      </c>
      <c r="E3" s="324" t="s">
        <v>552</v>
      </c>
      <c r="F3" s="253" t="s">
        <v>1818</v>
      </c>
      <c r="G3" s="319">
        <v>1.0</v>
      </c>
      <c r="H3" s="253" t="s">
        <v>1818</v>
      </c>
      <c r="I3" s="319">
        <v>1.0</v>
      </c>
      <c r="J3" s="319" t="s">
        <v>1819</v>
      </c>
      <c r="K3" s="324"/>
    </row>
    <row r="4">
      <c r="A4" s="324" t="s">
        <v>439</v>
      </c>
      <c r="B4" s="319"/>
      <c r="C4" s="319" t="s">
        <v>1820</v>
      </c>
      <c r="D4" s="324" t="s">
        <v>1821</v>
      </c>
      <c r="E4" s="319"/>
      <c r="F4" s="319"/>
      <c r="G4" s="319">
        <v>2.0</v>
      </c>
      <c r="H4" s="324"/>
      <c r="I4" s="319">
        <v>2.0</v>
      </c>
      <c r="J4" s="319" t="s">
        <v>1819</v>
      </c>
      <c r="K4" s="319"/>
    </row>
    <row r="5">
      <c r="A5" s="319"/>
      <c r="B5" s="319"/>
      <c r="C5" s="319" t="s">
        <v>1822</v>
      </c>
      <c r="D5" s="324" t="s">
        <v>1821</v>
      </c>
      <c r="E5" s="319"/>
      <c r="F5" s="319"/>
      <c r="G5" s="319">
        <v>3.0</v>
      </c>
      <c r="H5" s="324"/>
      <c r="I5" s="319">
        <v>3.0</v>
      </c>
      <c r="J5" s="319" t="s">
        <v>1819</v>
      </c>
      <c r="K5" s="319"/>
    </row>
    <row r="6">
      <c r="A6" s="319"/>
      <c r="B6" s="319"/>
      <c r="C6" s="319" t="s">
        <v>461</v>
      </c>
      <c r="D6" s="324" t="s">
        <v>1817</v>
      </c>
      <c r="E6" s="319"/>
      <c r="F6" s="319"/>
      <c r="G6" s="319">
        <v>4.0</v>
      </c>
      <c r="H6" s="324"/>
      <c r="I6" s="319">
        <v>4.0</v>
      </c>
      <c r="J6" s="319" t="s">
        <v>1819</v>
      </c>
      <c r="K6" s="319"/>
    </row>
    <row r="7">
      <c r="A7" s="305" t="s">
        <v>647</v>
      </c>
      <c r="B7" s="1096" t="s">
        <v>1823</v>
      </c>
      <c r="C7" s="1096" t="s">
        <v>1816</v>
      </c>
      <c r="D7" s="305" t="s">
        <v>1817</v>
      </c>
      <c r="E7" s="305"/>
      <c r="F7" s="305"/>
      <c r="G7" s="1096"/>
      <c r="H7" s="305"/>
      <c r="I7" s="305"/>
      <c r="J7" s="1096" t="s">
        <v>1819</v>
      </c>
      <c r="K7" s="1096"/>
    </row>
    <row r="8">
      <c r="A8" s="305" t="s">
        <v>439</v>
      </c>
      <c r="B8" s="1096"/>
      <c r="C8" s="1096" t="s">
        <v>1820</v>
      </c>
      <c r="D8" s="305" t="s">
        <v>1821</v>
      </c>
      <c r="E8" s="1096"/>
      <c r="F8" s="1096"/>
      <c r="G8" s="1096"/>
      <c r="H8" s="305"/>
      <c r="I8" s="305"/>
      <c r="J8" s="1096" t="s">
        <v>1819</v>
      </c>
      <c r="K8" s="1096"/>
    </row>
    <row r="9">
      <c r="A9" s="1096"/>
      <c r="B9" s="1096"/>
      <c r="C9" s="1096" t="s">
        <v>1822</v>
      </c>
      <c r="D9" s="305" t="s">
        <v>1821</v>
      </c>
      <c r="E9" s="1096"/>
      <c r="F9" s="1096"/>
      <c r="G9" s="1096"/>
      <c r="H9" s="305"/>
      <c r="I9" s="305"/>
      <c r="J9" s="1096" t="s">
        <v>1819</v>
      </c>
      <c r="K9" s="1096"/>
    </row>
    <row r="10">
      <c r="A10" s="1096"/>
      <c r="B10" s="1096"/>
      <c r="C10" s="1096" t="s">
        <v>461</v>
      </c>
      <c r="D10" s="305" t="s">
        <v>1817</v>
      </c>
      <c r="E10" s="1096"/>
      <c r="F10" s="1096"/>
      <c r="G10" s="1096"/>
      <c r="H10" s="305"/>
      <c r="I10" s="305"/>
      <c r="J10" s="1096" t="s">
        <v>1819</v>
      </c>
      <c r="K10" s="1096"/>
    </row>
    <row r="11">
      <c r="A11" s="324" t="s">
        <v>647</v>
      </c>
      <c r="B11" s="319" t="s">
        <v>1823</v>
      </c>
      <c r="C11" s="324" t="s">
        <v>482</v>
      </c>
      <c r="D11" s="324" t="s">
        <v>483</v>
      </c>
      <c r="E11" s="1097"/>
      <c r="F11" s="263"/>
      <c r="G11" s="319"/>
      <c r="H11" s="324"/>
      <c r="I11" s="324"/>
      <c r="J11" s="324" t="s">
        <v>1824</v>
      </c>
      <c r="K11" s="324" t="s">
        <v>1825</v>
      </c>
    </row>
    <row r="12">
      <c r="A12" s="324" t="s">
        <v>481</v>
      </c>
      <c r="B12" s="319"/>
      <c r="C12" s="324" t="s">
        <v>490</v>
      </c>
      <c r="D12" s="324"/>
      <c r="E12" s="1097"/>
      <c r="F12" s="263"/>
      <c r="G12" s="324"/>
      <c r="H12" s="324"/>
      <c r="I12" s="324"/>
      <c r="J12" s="324"/>
      <c r="K12" s="324"/>
    </row>
    <row r="13">
      <c r="A13" s="1098"/>
      <c r="B13" s="1098"/>
      <c r="C13" s="1098"/>
      <c r="D13" s="1098"/>
      <c r="E13" s="1098"/>
      <c r="F13" s="1098"/>
      <c r="G13" s="1098"/>
      <c r="H13" s="1098"/>
      <c r="I13" s="1098"/>
      <c r="J13" s="1098"/>
      <c r="K13" s="1098"/>
    </row>
    <row r="14">
      <c r="A14" s="319" t="s">
        <v>1823</v>
      </c>
      <c r="B14" s="319" t="s">
        <v>547</v>
      </c>
      <c r="C14" s="324" t="s">
        <v>1826</v>
      </c>
      <c r="D14" s="324"/>
      <c r="E14" s="319"/>
      <c r="F14" s="324" t="s">
        <v>1827</v>
      </c>
      <c r="G14" s="319">
        <v>1.0</v>
      </c>
      <c r="H14" s="1098"/>
      <c r="I14" s="1098"/>
      <c r="J14" s="1098"/>
      <c r="K14" s="1098"/>
    </row>
    <row r="15">
      <c r="A15" s="319"/>
      <c r="B15" s="319"/>
      <c r="C15" s="324" t="s">
        <v>1828</v>
      </c>
      <c r="D15" s="324"/>
      <c r="E15" s="319"/>
      <c r="F15" s="324"/>
      <c r="G15" s="319">
        <v>2.0</v>
      </c>
      <c r="H15" s="1098"/>
      <c r="I15" s="1098"/>
      <c r="J15" s="1098"/>
      <c r="K15" s="1098"/>
    </row>
    <row r="16">
      <c r="A16" s="1099"/>
      <c r="B16" s="1099"/>
      <c r="C16" s="1099"/>
      <c r="D16" s="1099"/>
      <c r="E16" s="1099"/>
      <c r="F16" s="1099"/>
      <c r="G16" s="1099"/>
      <c r="H16" s="1098"/>
      <c r="I16" s="1098"/>
      <c r="J16" s="1098"/>
      <c r="K16" s="1098"/>
    </row>
    <row r="17">
      <c r="A17" s="1096" t="s">
        <v>1823</v>
      </c>
      <c r="B17" s="1096" t="s">
        <v>1829</v>
      </c>
      <c r="C17" s="1096" t="s">
        <v>1830</v>
      </c>
      <c r="D17" s="1096"/>
      <c r="E17" s="305"/>
      <c r="F17" s="305" t="s">
        <v>1831</v>
      </c>
      <c r="G17" s="305">
        <v>1.0</v>
      </c>
      <c r="H17" s="1098"/>
      <c r="I17" s="1098"/>
      <c r="J17" s="1098"/>
      <c r="K17" s="1098"/>
    </row>
    <row r="18">
      <c r="A18" s="1096"/>
      <c r="B18" s="1096"/>
      <c r="C18" s="1096" t="s">
        <v>532</v>
      </c>
      <c r="D18" s="1096"/>
      <c r="E18" s="305"/>
      <c r="F18" s="305"/>
      <c r="G18" s="305">
        <v>2.0</v>
      </c>
      <c r="H18" s="1098"/>
      <c r="I18" s="1098"/>
      <c r="J18" s="1098"/>
      <c r="K18" s="1098"/>
    </row>
    <row r="19">
      <c r="A19" s="1096"/>
      <c r="B19" s="1096"/>
      <c r="C19" s="1096" t="s">
        <v>534</v>
      </c>
      <c r="D19" s="1096"/>
      <c r="E19" s="305"/>
      <c r="F19" s="305"/>
      <c r="G19" s="305">
        <v>3.0</v>
      </c>
      <c r="H19" s="1098"/>
      <c r="I19" s="1098"/>
      <c r="J19" s="1098"/>
      <c r="K19" s="1098"/>
    </row>
    <row r="20">
      <c r="A20" s="1096"/>
      <c r="B20" s="1096"/>
      <c r="C20" s="305" t="s">
        <v>536</v>
      </c>
      <c r="D20" s="1096"/>
      <c r="E20" s="1096"/>
      <c r="F20" s="305" t="s">
        <v>1831</v>
      </c>
      <c r="G20" s="305">
        <v>1.0</v>
      </c>
      <c r="H20" s="1098"/>
      <c r="I20" s="1098"/>
      <c r="J20" s="1098"/>
      <c r="K20" s="1098"/>
    </row>
    <row r="21">
      <c r="A21" s="1096"/>
      <c r="B21" s="1096"/>
      <c r="C21" s="305" t="s">
        <v>1832</v>
      </c>
      <c r="D21" s="1096"/>
      <c r="E21" s="1096"/>
      <c r="F21" s="305"/>
      <c r="G21" s="305">
        <v>2.0</v>
      </c>
      <c r="H21" s="1098"/>
      <c r="I21" s="1098"/>
      <c r="J21" s="1098"/>
      <c r="K21" s="1098"/>
    </row>
    <row r="22">
      <c r="A22" s="1096"/>
      <c r="B22" s="1096"/>
      <c r="C22" s="305" t="s">
        <v>1833</v>
      </c>
      <c r="D22" s="1096"/>
      <c r="E22" s="1096"/>
      <c r="F22" s="305"/>
      <c r="G22" s="305">
        <v>3.0</v>
      </c>
      <c r="H22" s="1098"/>
      <c r="I22" s="1098"/>
      <c r="J22" s="1098"/>
      <c r="K22" s="1098"/>
    </row>
    <row r="23">
      <c r="A23" s="1099"/>
      <c r="B23" s="1099"/>
      <c r="C23" s="1099"/>
      <c r="D23" s="1099"/>
      <c r="E23" s="1099"/>
      <c r="F23" s="1099"/>
      <c r="G23" s="1099"/>
      <c r="H23" s="1099"/>
      <c r="I23" s="1099"/>
      <c r="J23" s="1099"/>
      <c r="K23" s="1099"/>
    </row>
    <row r="24">
      <c r="A24" s="319" t="s">
        <v>1823</v>
      </c>
      <c r="B24" s="1097" t="s">
        <v>1834</v>
      </c>
      <c r="C24" s="324" t="s">
        <v>1835</v>
      </c>
      <c r="D24" s="324" t="s">
        <v>1836</v>
      </c>
      <c r="E24" s="1097" t="s">
        <v>1837</v>
      </c>
      <c r="F24" s="324" t="s">
        <v>1838</v>
      </c>
      <c r="G24" s="324">
        <v>1.0</v>
      </c>
      <c r="H24" s="324" t="s">
        <v>1839</v>
      </c>
      <c r="I24" s="324"/>
      <c r="J24" s="324" t="s">
        <v>1840</v>
      </c>
      <c r="K24" s="1097"/>
    </row>
    <row r="25">
      <c r="A25" s="319"/>
      <c r="B25" s="1097"/>
      <c r="C25" s="324" t="s">
        <v>1841</v>
      </c>
      <c r="D25" s="324" t="s">
        <v>1836</v>
      </c>
      <c r="E25" s="1097" t="s">
        <v>1837</v>
      </c>
      <c r="F25" s="324"/>
      <c r="G25" s="324">
        <v>2.0</v>
      </c>
      <c r="H25" s="324" t="s">
        <v>1839</v>
      </c>
      <c r="I25" s="324"/>
      <c r="J25" s="324" t="s">
        <v>1840</v>
      </c>
      <c r="K25" s="1097"/>
    </row>
    <row r="26">
      <c r="A26" s="319"/>
      <c r="B26" s="1097"/>
      <c r="C26" s="324" t="s">
        <v>1842</v>
      </c>
      <c r="D26" s="324" t="s">
        <v>1840</v>
      </c>
      <c r="E26" s="1097" t="s">
        <v>1837</v>
      </c>
      <c r="F26" s="319"/>
      <c r="G26" s="324">
        <v>3.0</v>
      </c>
      <c r="H26" s="324" t="s">
        <v>1839</v>
      </c>
      <c r="I26" s="324"/>
      <c r="J26" s="324" t="s">
        <v>1836</v>
      </c>
      <c r="K26" s="1100"/>
    </row>
    <row r="27">
      <c r="A27" s="319"/>
      <c r="B27" s="1097"/>
      <c r="C27" s="324" t="s">
        <v>1843</v>
      </c>
      <c r="D27" s="324" t="s">
        <v>492</v>
      </c>
      <c r="E27" s="1097" t="s">
        <v>1837</v>
      </c>
      <c r="F27" s="319"/>
      <c r="G27" s="324">
        <v>4.0</v>
      </c>
      <c r="H27" s="324" t="s">
        <v>1839</v>
      </c>
      <c r="I27" s="324"/>
      <c r="J27" s="324" t="s">
        <v>492</v>
      </c>
      <c r="K27" s="324" t="s">
        <v>1825</v>
      </c>
    </row>
    <row r="28">
      <c r="A28" s="1097"/>
      <c r="B28" s="1097"/>
      <c r="C28" s="324" t="s">
        <v>1844</v>
      </c>
      <c r="D28" s="324" t="s">
        <v>1845</v>
      </c>
      <c r="E28" s="324" t="s">
        <v>1846</v>
      </c>
      <c r="F28" s="1097"/>
      <c r="G28" s="324">
        <v>5.0</v>
      </c>
      <c r="H28" s="324" t="s">
        <v>456</v>
      </c>
      <c r="I28" s="324"/>
      <c r="J28" s="324" t="s">
        <v>1845</v>
      </c>
      <c r="K28" s="1097"/>
    </row>
    <row r="29">
      <c r="A29" s="1097"/>
      <c r="B29" s="1097"/>
      <c r="C29" s="324" t="s">
        <v>1847</v>
      </c>
      <c r="D29" s="324" t="s">
        <v>1848</v>
      </c>
      <c r="E29" s="324" t="s">
        <v>1846</v>
      </c>
      <c r="F29" s="1097"/>
      <c r="G29" s="324">
        <v>6.0</v>
      </c>
      <c r="H29" s="324" t="s">
        <v>456</v>
      </c>
      <c r="I29" s="324"/>
      <c r="J29" s="324" t="s">
        <v>1848</v>
      </c>
      <c r="K29" s="1097"/>
    </row>
    <row r="30">
      <c r="A30" s="529"/>
      <c r="B30" s="529"/>
      <c r="C30" s="529"/>
      <c r="D30" s="529"/>
      <c r="E30" s="529"/>
      <c r="F30" s="529"/>
      <c r="G30" s="529"/>
      <c r="H30" s="529"/>
      <c r="I30" s="529"/>
      <c r="J30" s="529"/>
      <c r="K30" s="529"/>
    </row>
    <row r="31">
      <c r="A31" s="1101" t="s">
        <v>1849</v>
      </c>
      <c r="B31" s="1102" t="s">
        <v>1823</v>
      </c>
      <c r="C31" s="1102" t="s">
        <v>544</v>
      </c>
      <c r="D31" s="1103" t="s">
        <v>546</v>
      </c>
      <c r="E31" s="1103" t="s">
        <v>546</v>
      </c>
      <c r="F31" s="1101" t="s">
        <v>1850</v>
      </c>
      <c r="G31" s="1102"/>
      <c r="H31" s="1102"/>
      <c r="I31" s="1102"/>
      <c r="J31" s="1102"/>
      <c r="K31" s="1102"/>
    </row>
    <row r="32">
      <c r="A32" s="529"/>
      <c r="B32" s="529"/>
      <c r="C32" s="529"/>
      <c r="D32" s="529"/>
      <c r="E32" s="529"/>
      <c r="F32" s="529"/>
      <c r="G32" s="529"/>
      <c r="H32" s="529"/>
      <c r="I32" s="529"/>
      <c r="J32" s="529"/>
      <c r="K32" s="529"/>
    </row>
    <row r="33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</row>
    <row r="34">
      <c r="A34" s="319" t="s">
        <v>1823</v>
      </c>
      <c r="B34" s="319" t="s">
        <v>1271</v>
      </c>
      <c r="C34" s="324" t="s">
        <v>1851</v>
      </c>
      <c r="D34" s="324" t="s">
        <v>1852</v>
      </c>
      <c r="E34" s="324" t="s">
        <v>546</v>
      </c>
      <c r="F34" s="324" t="s">
        <v>1853</v>
      </c>
      <c r="G34" s="324">
        <v>1.0</v>
      </c>
      <c r="H34" s="324" t="s">
        <v>546</v>
      </c>
      <c r="I34" s="324" t="s">
        <v>546</v>
      </c>
      <c r="J34" s="324" t="s">
        <v>1854</v>
      </c>
      <c r="K34" s="324" t="s">
        <v>1855</v>
      </c>
    </row>
    <row r="35">
      <c r="A35" s="319"/>
      <c r="B35" s="319"/>
      <c r="C35" s="324" t="s">
        <v>1851</v>
      </c>
      <c r="D35" s="324" t="s">
        <v>1852</v>
      </c>
      <c r="E35" s="324" t="s">
        <v>1856</v>
      </c>
      <c r="F35" s="324"/>
      <c r="G35" s="324">
        <v>2.0</v>
      </c>
      <c r="H35" s="324" t="s">
        <v>1856</v>
      </c>
      <c r="I35" s="324" t="s">
        <v>1856</v>
      </c>
      <c r="J35" s="324" t="s">
        <v>1854</v>
      </c>
      <c r="K35" s="324"/>
    </row>
    <row r="36">
      <c r="A36" s="319"/>
      <c r="B36" s="319"/>
      <c r="C36" s="324" t="s">
        <v>1851</v>
      </c>
      <c r="D36" s="324" t="s">
        <v>1852</v>
      </c>
      <c r="E36" s="324" t="s">
        <v>1856</v>
      </c>
      <c r="F36" s="324"/>
      <c r="G36" s="324">
        <v>3.0</v>
      </c>
      <c r="H36" s="324" t="s">
        <v>1856</v>
      </c>
      <c r="I36" s="324" t="s">
        <v>1856</v>
      </c>
      <c r="J36" s="324" t="s">
        <v>1854</v>
      </c>
      <c r="K36" s="324"/>
    </row>
    <row r="37">
      <c r="A37" s="319"/>
      <c r="B37" s="319"/>
      <c r="C37" s="324" t="s">
        <v>1851</v>
      </c>
      <c r="D37" s="324" t="s">
        <v>1852</v>
      </c>
      <c r="E37" s="324" t="s">
        <v>1856</v>
      </c>
      <c r="F37" s="324"/>
      <c r="G37" s="324">
        <v>4.0</v>
      </c>
      <c r="H37" s="324" t="s">
        <v>1856</v>
      </c>
      <c r="I37" s="324" t="s">
        <v>1856</v>
      </c>
      <c r="J37" s="324" t="s">
        <v>1854</v>
      </c>
      <c r="K37" s="324"/>
    </row>
    <row r="38">
      <c r="A38" s="529"/>
      <c r="B38" s="529"/>
      <c r="C38" s="529"/>
      <c r="D38" s="529"/>
      <c r="E38" s="529"/>
      <c r="F38" s="529"/>
      <c r="G38" s="529"/>
      <c r="H38" s="529"/>
      <c r="I38" s="529"/>
      <c r="J38" s="529"/>
      <c r="K38" s="529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63"/>
    <col customWidth="1" min="8" max="8" width="15.25"/>
    <col customWidth="1" min="11" max="11" width="12.88"/>
    <col customWidth="1" min="12" max="12" width="13.75"/>
  </cols>
  <sheetData>
    <row r="1">
      <c r="A1" s="1104" t="s">
        <v>1857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4"/>
    </row>
    <row r="2">
      <c r="A2" s="464" t="s">
        <v>734</v>
      </c>
      <c r="B2" s="465"/>
      <c r="C2" s="69"/>
      <c r="D2" s="466"/>
      <c r="E2" s="467" t="s">
        <v>735</v>
      </c>
      <c r="F2" s="465"/>
      <c r="G2" s="465"/>
      <c r="H2" s="69"/>
      <c r="I2" s="468" t="s">
        <v>743</v>
      </c>
      <c r="J2" s="467" t="s">
        <v>736</v>
      </c>
      <c r="K2" s="465"/>
      <c r="L2" s="69"/>
    </row>
    <row r="3">
      <c r="A3" s="1105" t="s">
        <v>1858</v>
      </c>
      <c r="B3" s="469" t="s">
        <v>737</v>
      </c>
      <c r="C3" s="469" t="s">
        <v>739</v>
      </c>
      <c r="D3" s="466"/>
      <c r="E3" s="469" t="s">
        <v>1859</v>
      </c>
      <c r="F3" s="469" t="s">
        <v>1860</v>
      </c>
      <c r="G3" s="469" t="s">
        <v>742</v>
      </c>
      <c r="H3" s="469" t="s">
        <v>1092</v>
      </c>
      <c r="I3" s="485"/>
      <c r="J3" s="469" t="s">
        <v>1860</v>
      </c>
      <c r="K3" s="469" t="s">
        <v>742</v>
      </c>
      <c r="L3" s="469" t="s">
        <v>1092</v>
      </c>
    </row>
    <row r="4">
      <c r="A4" s="475">
        <v>1.0</v>
      </c>
      <c r="B4" s="476" t="s">
        <v>777</v>
      </c>
      <c r="C4" s="476" t="s">
        <v>746</v>
      </c>
      <c r="D4" s="466"/>
      <c r="E4" s="478">
        <v>1.0</v>
      </c>
      <c r="F4" s="478">
        <v>1.0</v>
      </c>
      <c r="G4" s="478" t="s">
        <v>747</v>
      </c>
      <c r="H4" s="478" t="s">
        <v>414</v>
      </c>
      <c r="I4" s="485"/>
      <c r="J4" s="478" t="s">
        <v>748</v>
      </c>
      <c r="K4" s="478" t="s">
        <v>1861</v>
      </c>
      <c r="L4" s="478" t="s">
        <v>414</v>
      </c>
    </row>
    <row r="5">
      <c r="A5" s="475">
        <v>2.0</v>
      </c>
      <c r="B5" s="476" t="s">
        <v>777</v>
      </c>
      <c r="C5" s="476" t="s">
        <v>751</v>
      </c>
      <c r="D5" s="466"/>
      <c r="E5" s="478">
        <v>2.0</v>
      </c>
      <c r="F5" s="478">
        <v>2.0</v>
      </c>
      <c r="G5" s="478" t="s">
        <v>752</v>
      </c>
      <c r="H5" s="478" t="s">
        <v>751</v>
      </c>
      <c r="I5" s="485"/>
      <c r="J5" s="478" t="s">
        <v>753</v>
      </c>
      <c r="K5" s="478" t="s">
        <v>1862</v>
      </c>
      <c r="L5" s="478" t="s">
        <v>751</v>
      </c>
    </row>
    <row r="6">
      <c r="A6" s="475">
        <v>3.0</v>
      </c>
      <c r="B6" s="476" t="s">
        <v>777</v>
      </c>
      <c r="C6" s="476" t="s">
        <v>416</v>
      </c>
      <c r="D6" s="466"/>
      <c r="E6" s="478">
        <v>3.0</v>
      </c>
      <c r="F6" s="478">
        <v>3.0</v>
      </c>
      <c r="G6" s="478" t="s">
        <v>756</v>
      </c>
      <c r="H6" s="478" t="s">
        <v>416</v>
      </c>
      <c r="I6" s="485"/>
      <c r="J6" s="478" t="s">
        <v>757</v>
      </c>
      <c r="K6" s="478" t="s">
        <v>1863</v>
      </c>
      <c r="L6" s="478" t="s">
        <v>416</v>
      </c>
    </row>
    <row r="7">
      <c r="A7" s="475">
        <v>4.0</v>
      </c>
      <c r="B7" s="476" t="s">
        <v>777</v>
      </c>
      <c r="C7" s="476" t="s">
        <v>417</v>
      </c>
      <c r="D7" s="466"/>
      <c r="E7" s="478">
        <v>4.0</v>
      </c>
      <c r="F7" s="478">
        <v>4.0</v>
      </c>
      <c r="G7" s="478" t="s">
        <v>760</v>
      </c>
      <c r="H7" s="478" t="s">
        <v>417</v>
      </c>
      <c r="I7" s="485"/>
      <c r="J7" s="478" t="s">
        <v>761</v>
      </c>
      <c r="K7" s="478" t="s">
        <v>1864</v>
      </c>
      <c r="L7" s="478" t="s">
        <v>417</v>
      </c>
    </row>
    <row r="8">
      <c r="A8" s="475">
        <v>5.0</v>
      </c>
      <c r="B8" s="476" t="s">
        <v>777</v>
      </c>
      <c r="C8" s="483"/>
      <c r="D8" s="466"/>
      <c r="E8" s="484">
        <v>5.0</v>
      </c>
      <c r="F8" s="485"/>
      <c r="G8" s="485"/>
      <c r="H8" s="485"/>
      <c r="I8" s="541"/>
      <c r="J8" s="484" t="s">
        <v>765</v>
      </c>
      <c r="K8" s="485"/>
      <c r="L8" s="485"/>
    </row>
    <row r="9">
      <c r="A9" s="475">
        <v>6.0</v>
      </c>
      <c r="B9" s="476" t="s">
        <v>777</v>
      </c>
      <c r="C9" s="483"/>
      <c r="D9" s="466"/>
      <c r="E9" s="484">
        <v>6.0</v>
      </c>
      <c r="F9" s="485"/>
      <c r="G9" s="485"/>
      <c r="H9" s="485"/>
      <c r="I9" s="541"/>
      <c r="J9" s="484" t="s">
        <v>767</v>
      </c>
      <c r="K9" s="485"/>
      <c r="L9" s="485"/>
    </row>
    <row r="10">
      <c r="A10" s="488">
        <v>7.0</v>
      </c>
      <c r="B10" s="485"/>
      <c r="C10" s="485"/>
      <c r="D10" s="466"/>
      <c r="E10" s="489">
        <v>7.0</v>
      </c>
      <c r="F10" s="490"/>
      <c r="G10" s="490"/>
      <c r="H10" s="490"/>
      <c r="I10" s="541"/>
      <c r="J10" s="491"/>
      <c r="K10" s="491"/>
      <c r="L10" s="491"/>
    </row>
    <row r="11">
      <c r="A11" s="488">
        <v>8.0</v>
      </c>
      <c r="B11" s="485"/>
      <c r="C11" s="485"/>
      <c r="D11" s="466"/>
      <c r="E11" s="496">
        <v>8.0</v>
      </c>
      <c r="F11" s="493">
        <v>14.0</v>
      </c>
      <c r="G11" s="493" t="s">
        <v>768</v>
      </c>
      <c r="H11" s="494" t="s">
        <v>769</v>
      </c>
      <c r="I11" s="541"/>
      <c r="J11" s="491"/>
      <c r="K11" s="491"/>
      <c r="L11" s="491"/>
    </row>
    <row r="12">
      <c r="A12" s="488">
        <v>9.0</v>
      </c>
      <c r="B12" s="485"/>
      <c r="C12" s="485"/>
      <c r="D12" s="466"/>
      <c r="E12" s="496">
        <v>9.0</v>
      </c>
      <c r="F12" s="493">
        <v>15.0</v>
      </c>
      <c r="G12" s="493" t="s">
        <v>770</v>
      </c>
      <c r="H12" s="496" t="s">
        <v>771</v>
      </c>
      <c r="I12" s="541"/>
      <c r="J12" s="491"/>
      <c r="K12" s="491"/>
      <c r="L12" s="491"/>
    </row>
    <row r="13">
      <c r="A13" s="488">
        <v>10.0</v>
      </c>
      <c r="B13" s="485"/>
      <c r="C13" s="485"/>
      <c r="D13" s="466"/>
      <c r="E13" s="496">
        <v>10.0</v>
      </c>
      <c r="F13" s="493">
        <v>1.0</v>
      </c>
      <c r="G13" s="493" t="s">
        <v>772</v>
      </c>
      <c r="H13" s="496" t="s">
        <v>414</v>
      </c>
      <c r="I13" s="541"/>
      <c r="J13" s="491"/>
      <c r="K13" s="491"/>
      <c r="L13" s="491"/>
    </row>
    <row r="14">
      <c r="A14" s="488">
        <v>11.0</v>
      </c>
      <c r="B14" s="485"/>
      <c r="C14" s="485"/>
      <c r="D14" s="466"/>
      <c r="E14" s="496">
        <v>11.0</v>
      </c>
      <c r="F14" s="493">
        <v>1.0</v>
      </c>
      <c r="G14" s="493" t="s">
        <v>773</v>
      </c>
      <c r="H14" s="496" t="s">
        <v>414</v>
      </c>
      <c r="I14" s="485"/>
      <c r="J14" s="466"/>
      <c r="K14" s="467" t="s">
        <v>774</v>
      </c>
      <c r="L14" s="69"/>
    </row>
    <row r="15">
      <c r="A15" s="499">
        <v>12.0</v>
      </c>
      <c r="B15" s="497" t="s">
        <v>775</v>
      </c>
      <c r="C15" s="497" t="s">
        <v>776</v>
      </c>
      <c r="D15" s="466"/>
      <c r="E15" s="484">
        <v>12.0</v>
      </c>
      <c r="F15" s="485"/>
      <c r="G15" s="485"/>
      <c r="H15" s="485"/>
      <c r="I15" s="485"/>
      <c r="J15" s="466"/>
      <c r="K15" s="483"/>
      <c r="L15" s="484" t="s">
        <v>777</v>
      </c>
    </row>
    <row r="16">
      <c r="A16" s="502">
        <v>13.0</v>
      </c>
      <c r="B16" s="500" t="s">
        <v>778</v>
      </c>
      <c r="C16" s="500" t="s">
        <v>779</v>
      </c>
      <c r="D16" s="466"/>
      <c r="E16" s="484">
        <v>13.0</v>
      </c>
      <c r="F16" s="484"/>
      <c r="G16" s="484"/>
      <c r="H16" s="484"/>
      <c r="I16" s="541"/>
      <c r="J16" s="466"/>
      <c r="K16" s="503"/>
      <c r="L16" s="484" t="s">
        <v>780</v>
      </c>
    </row>
    <row r="17">
      <c r="A17" s="506">
        <v>14.0</v>
      </c>
      <c r="B17" s="504" t="s">
        <v>781</v>
      </c>
      <c r="C17" s="504" t="s">
        <v>782</v>
      </c>
      <c r="D17" s="466"/>
      <c r="E17" s="484">
        <v>14.0</v>
      </c>
      <c r="F17" s="485"/>
      <c r="G17" s="485"/>
      <c r="H17" s="485"/>
      <c r="I17" s="541"/>
      <c r="J17" s="466"/>
      <c r="K17" s="507"/>
      <c r="L17" s="484" t="s">
        <v>783</v>
      </c>
    </row>
    <row r="18">
      <c r="A18" s="502">
        <v>15.0</v>
      </c>
      <c r="B18" s="500" t="s">
        <v>784</v>
      </c>
      <c r="C18" s="500" t="s">
        <v>785</v>
      </c>
      <c r="D18" s="466"/>
      <c r="E18" s="489">
        <v>15.0</v>
      </c>
      <c r="F18" s="490"/>
      <c r="G18" s="1106"/>
      <c r="H18" s="490"/>
      <c r="I18" s="541"/>
      <c r="J18" s="466"/>
      <c r="K18" s="508"/>
      <c r="L18" s="484" t="s">
        <v>786</v>
      </c>
    </row>
    <row r="19">
      <c r="A19" s="488">
        <v>16.0</v>
      </c>
      <c r="B19" s="484"/>
      <c r="C19" s="484"/>
      <c r="D19" s="466"/>
      <c r="E19" s="488">
        <v>16.0</v>
      </c>
      <c r="F19" s="485"/>
      <c r="G19" s="485"/>
      <c r="H19" s="485"/>
      <c r="I19" s="541"/>
      <c r="J19" s="466"/>
      <c r="K19" s="510"/>
      <c r="L19" s="511" t="s">
        <v>787</v>
      </c>
    </row>
    <row r="20">
      <c r="A20" s="488">
        <v>17.0</v>
      </c>
      <c r="B20" s="485"/>
      <c r="C20" s="485"/>
      <c r="D20" s="466"/>
      <c r="E20" s="512">
        <v>17.0</v>
      </c>
      <c r="F20" s="518">
        <v>1.0</v>
      </c>
      <c r="G20" s="518" t="s">
        <v>1865</v>
      </c>
      <c r="H20" s="518" t="s">
        <v>414</v>
      </c>
      <c r="I20" s="541"/>
      <c r="J20" s="466"/>
      <c r="K20" s="514"/>
      <c r="L20" s="484" t="s">
        <v>789</v>
      </c>
    </row>
    <row r="21">
      <c r="A21" s="488">
        <v>18.0</v>
      </c>
      <c r="B21" s="485"/>
      <c r="C21" s="485"/>
      <c r="D21" s="466"/>
      <c r="E21" s="515">
        <v>18.0</v>
      </c>
      <c r="F21" s="1107">
        <v>1.0</v>
      </c>
      <c r="G21" s="1107" t="s">
        <v>1866</v>
      </c>
      <c r="H21" s="1107" t="s">
        <v>414</v>
      </c>
      <c r="I21" s="485"/>
      <c r="J21" s="491"/>
      <c r="K21" s="517"/>
      <c r="L21" s="484" t="s">
        <v>791</v>
      </c>
    </row>
    <row r="22">
      <c r="A22" s="488">
        <v>19.0</v>
      </c>
      <c r="B22" s="485"/>
      <c r="C22" s="485"/>
      <c r="D22" s="466"/>
      <c r="E22" s="512">
        <v>19.0</v>
      </c>
      <c r="F22" s="518" t="s">
        <v>792</v>
      </c>
      <c r="G22" s="1108" t="s">
        <v>1865</v>
      </c>
      <c r="H22" s="518" t="s">
        <v>794</v>
      </c>
      <c r="I22" s="519" t="b">
        <v>0</v>
      </c>
      <c r="J22" s="491"/>
      <c r="K22" s="491"/>
      <c r="L22" s="491"/>
    </row>
    <row r="23">
      <c r="A23" s="488">
        <v>20.0</v>
      </c>
      <c r="B23" s="485"/>
      <c r="C23" s="485"/>
      <c r="D23" s="491"/>
      <c r="E23" s="512">
        <v>20.0</v>
      </c>
      <c r="F23" s="518" t="s">
        <v>796</v>
      </c>
      <c r="G23" s="1108" t="s">
        <v>1865</v>
      </c>
      <c r="H23" s="518" t="s">
        <v>798</v>
      </c>
      <c r="I23" s="519" t="b">
        <v>0</v>
      </c>
      <c r="J23" s="491"/>
      <c r="K23" s="491"/>
      <c r="L23" s="491"/>
    </row>
  </sheetData>
  <mergeCells count="5">
    <mergeCell ref="A1:L1"/>
    <mergeCell ref="A2:C2"/>
    <mergeCell ref="E2:H2"/>
    <mergeCell ref="J2:L2"/>
    <mergeCell ref="K14:L14"/>
  </mergeCells>
  <conditionalFormatting sqref="I22:I23">
    <cfRule type="cellIs" dxfId="5" priority="1" operator="equal">
      <formula>"TRUE"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7.63"/>
    <col customWidth="1" min="3" max="3" width="3.63"/>
    <col customWidth="1" min="6" max="6" width="6.38"/>
    <col customWidth="1" min="7" max="7" width="2.63"/>
    <col customWidth="1" min="9" max="9" width="3.25"/>
    <col customWidth="1" min="11" max="11" width="20.0"/>
    <col customWidth="1" min="12" max="12" width="15.25"/>
    <col customWidth="1" min="13" max="13" width="6.5"/>
    <col customWidth="1" min="15" max="15" width="18.75"/>
    <col customWidth="1" min="16" max="16" width="3.0"/>
    <col customWidth="1" min="17" max="17" width="12.88"/>
    <col customWidth="1" min="18" max="18" width="13.75"/>
  </cols>
  <sheetData>
    <row r="1">
      <c r="A1" s="611"/>
      <c r="B1" s="1109"/>
      <c r="C1" s="1110"/>
      <c r="D1" s="1109" t="s">
        <v>1857</v>
      </c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1111"/>
    </row>
    <row r="2">
      <c r="A2" s="1112"/>
      <c r="B2" s="467"/>
      <c r="C2" s="467"/>
      <c r="D2" s="464" t="s">
        <v>734</v>
      </c>
      <c r="E2" s="1113"/>
      <c r="F2" s="468"/>
      <c r="G2" s="466"/>
      <c r="H2" s="467"/>
      <c r="I2" s="467"/>
      <c r="J2" s="467" t="s">
        <v>735</v>
      </c>
      <c r="K2" s="467"/>
      <c r="L2" s="1113"/>
      <c r="M2" s="468"/>
      <c r="N2" s="468" t="s">
        <v>743</v>
      </c>
      <c r="O2" s="467" t="s">
        <v>736</v>
      </c>
      <c r="P2" s="465"/>
      <c r="Q2" s="465"/>
      <c r="R2" s="69"/>
    </row>
    <row r="3">
      <c r="A3" s="530"/>
      <c r="B3" s="469" t="s">
        <v>737</v>
      </c>
      <c r="C3" s="1114"/>
      <c r="D3" s="470" t="s">
        <v>738</v>
      </c>
      <c r="E3" s="472" t="s">
        <v>1867</v>
      </c>
      <c r="F3" s="471" t="s">
        <v>740</v>
      </c>
      <c r="G3" s="466"/>
      <c r="H3" s="470" t="s">
        <v>738</v>
      </c>
      <c r="I3" s="509"/>
      <c r="J3" s="472" t="s">
        <v>1868</v>
      </c>
      <c r="K3" s="469" t="s">
        <v>742</v>
      </c>
      <c r="L3" s="469" t="s">
        <v>1092</v>
      </c>
      <c r="M3" s="471" t="s">
        <v>740</v>
      </c>
      <c r="N3" s="485"/>
      <c r="O3" s="472" t="s">
        <v>737</v>
      </c>
      <c r="P3" s="469"/>
      <c r="Q3" s="469" t="s">
        <v>742</v>
      </c>
      <c r="R3" s="472" t="s">
        <v>1867</v>
      </c>
    </row>
    <row r="4">
      <c r="A4" s="1115"/>
      <c r="B4" s="473" t="s">
        <v>745</v>
      </c>
      <c r="C4" s="474"/>
      <c r="D4" s="475">
        <v>1.0</v>
      </c>
      <c r="E4" s="476" t="s">
        <v>746</v>
      </c>
      <c r="F4" s="477" t="b">
        <v>0</v>
      </c>
      <c r="G4" s="466"/>
      <c r="H4" s="478">
        <v>1.0</v>
      </c>
      <c r="I4" s="1116"/>
      <c r="J4" s="478">
        <v>1.0</v>
      </c>
      <c r="K4" s="480" t="s">
        <v>1869</v>
      </c>
      <c r="L4" s="478" t="s">
        <v>414</v>
      </c>
      <c r="M4" s="477" t="b">
        <v>0</v>
      </c>
      <c r="N4" s="485"/>
      <c r="O4" s="480" t="s">
        <v>1870</v>
      </c>
      <c r="P4" s="1116"/>
      <c r="Q4" s="478" t="s">
        <v>1861</v>
      </c>
      <c r="R4" s="478" t="s">
        <v>414</v>
      </c>
    </row>
    <row r="5">
      <c r="A5" s="1115"/>
      <c r="B5" s="473" t="s">
        <v>750</v>
      </c>
      <c r="C5" s="474"/>
      <c r="D5" s="475">
        <v>2.0</v>
      </c>
      <c r="E5" s="476" t="s">
        <v>751</v>
      </c>
      <c r="F5" s="477" t="b">
        <v>0</v>
      </c>
      <c r="G5" s="466"/>
      <c r="H5" s="478">
        <v>2.0</v>
      </c>
      <c r="I5" s="1116"/>
      <c r="J5" s="478">
        <v>2.0</v>
      </c>
      <c r="K5" s="480" t="s">
        <v>1871</v>
      </c>
      <c r="L5" s="478" t="s">
        <v>751</v>
      </c>
      <c r="M5" s="477" t="b">
        <v>0</v>
      </c>
      <c r="N5" s="485"/>
      <c r="O5" s="480" t="s">
        <v>1872</v>
      </c>
      <c r="P5" s="1116"/>
      <c r="Q5" s="478" t="s">
        <v>1862</v>
      </c>
      <c r="R5" s="478" t="s">
        <v>751</v>
      </c>
    </row>
    <row r="6">
      <c r="A6" s="1115"/>
      <c r="B6" s="473" t="s">
        <v>755</v>
      </c>
      <c r="C6" s="474"/>
      <c r="D6" s="475">
        <v>3.0</v>
      </c>
      <c r="E6" s="476" t="s">
        <v>416</v>
      </c>
      <c r="F6" s="477" t="b">
        <v>0</v>
      </c>
      <c r="G6" s="466"/>
      <c r="H6" s="478">
        <v>3.0</v>
      </c>
      <c r="I6" s="1116"/>
      <c r="J6" s="478">
        <v>3.0</v>
      </c>
      <c r="K6" s="480" t="s">
        <v>1873</v>
      </c>
      <c r="L6" s="478" t="s">
        <v>416</v>
      </c>
      <c r="M6" s="477" t="b">
        <v>0</v>
      </c>
      <c r="N6" s="485"/>
      <c r="O6" s="480" t="s">
        <v>1874</v>
      </c>
      <c r="P6" s="1116"/>
      <c r="Q6" s="478" t="s">
        <v>1863</v>
      </c>
      <c r="R6" s="478" t="s">
        <v>416</v>
      </c>
    </row>
    <row r="7">
      <c r="A7" s="1115"/>
      <c r="B7" s="473" t="s">
        <v>759</v>
      </c>
      <c r="C7" s="474"/>
      <c r="D7" s="475">
        <v>4.0</v>
      </c>
      <c r="E7" s="476" t="s">
        <v>417</v>
      </c>
      <c r="F7" s="477" t="b">
        <v>0</v>
      </c>
      <c r="G7" s="466"/>
      <c r="H7" s="478">
        <v>4.0</v>
      </c>
      <c r="I7" s="1116"/>
      <c r="J7" s="478">
        <v>4.0</v>
      </c>
      <c r="K7" s="480" t="s">
        <v>1875</v>
      </c>
      <c r="L7" s="478" t="s">
        <v>417</v>
      </c>
      <c r="M7" s="477" t="b">
        <v>0</v>
      </c>
      <c r="N7" s="485"/>
      <c r="O7" s="480" t="s">
        <v>1876</v>
      </c>
      <c r="P7" s="1116"/>
      <c r="Q7" s="478" t="s">
        <v>1864</v>
      </c>
      <c r="R7" s="478" t="s">
        <v>417</v>
      </c>
    </row>
    <row r="8">
      <c r="A8" s="1115"/>
      <c r="B8" s="473" t="s">
        <v>763</v>
      </c>
      <c r="C8" s="476"/>
      <c r="D8" s="475">
        <v>5.0</v>
      </c>
      <c r="E8" s="483"/>
      <c r="F8" s="477" t="b">
        <v>0</v>
      </c>
      <c r="G8" s="466"/>
      <c r="H8" s="485"/>
      <c r="I8" s="487"/>
      <c r="J8" s="484">
        <v>5.0</v>
      </c>
      <c r="K8" s="485"/>
      <c r="L8" s="485"/>
      <c r="M8" s="477" t="b">
        <v>0</v>
      </c>
      <c r="N8" s="541"/>
      <c r="O8" s="482" t="s">
        <v>1877</v>
      </c>
      <c r="P8" s="482"/>
      <c r="Q8" s="485"/>
      <c r="R8" s="485"/>
    </row>
    <row r="9">
      <c r="A9" s="1115"/>
      <c r="B9" s="473" t="s">
        <v>766</v>
      </c>
      <c r="C9" s="476"/>
      <c r="D9" s="475">
        <v>6.0</v>
      </c>
      <c r="E9" s="483"/>
      <c r="F9" s="477" t="b">
        <v>0</v>
      </c>
      <c r="G9" s="466"/>
      <c r="H9" s="485"/>
      <c r="I9" s="487"/>
      <c r="J9" s="484">
        <v>6.0</v>
      </c>
      <c r="K9" s="485"/>
      <c r="L9" s="485"/>
      <c r="M9" s="477" t="b">
        <v>0</v>
      </c>
      <c r="N9" s="541"/>
      <c r="O9" s="482" t="s">
        <v>1878</v>
      </c>
      <c r="P9" s="482"/>
      <c r="Q9" s="485"/>
      <c r="R9" s="485"/>
    </row>
    <row r="10">
      <c r="A10" s="541"/>
      <c r="B10" s="485"/>
      <c r="C10" s="485"/>
      <c r="D10" s="488">
        <v>7.0</v>
      </c>
      <c r="E10" s="485"/>
      <c r="F10" s="477" t="b">
        <v>0</v>
      </c>
      <c r="G10" s="466"/>
      <c r="H10" s="490"/>
      <c r="I10" s="1117"/>
      <c r="J10" s="489">
        <v>7.0</v>
      </c>
      <c r="K10" s="490"/>
      <c r="L10" s="490"/>
      <c r="M10" s="477" t="b">
        <v>0</v>
      </c>
      <c r="N10" s="541"/>
      <c r="O10" s="491"/>
      <c r="P10" s="491"/>
      <c r="Q10" s="491"/>
      <c r="R10" s="491"/>
    </row>
    <row r="11">
      <c r="A11" s="541"/>
      <c r="B11" s="485"/>
      <c r="C11" s="485"/>
      <c r="D11" s="488">
        <v>8.0</v>
      </c>
      <c r="E11" s="485"/>
      <c r="F11" s="477" t="b">
        <v>0</v>
      </c>
      <c r="G11" s="466"/>
      <c r="H11" s="493">
        <v>14.0</v>
      </c>
      <c r="I11" s="1118"/>
      <c r="J11" s="496">
        <v>8.0</v>
      </c>
      <c r="K11" s="1119" t="s">
        <v>1879</v>
      </c>
      <c r="L11" s="494" t="s">
        <v>769</v>
      </c>
      <c r="M11" s="477" t="b">
        <v>0</v>
      </c>
      <c r="N11" s="541"/>
      <c r="O11" s="491"/>
      <c r="P11" s="491"/>
      <c r="Q11" s="491"/>
      <c r="R11" s="491"/>
    </row>
    <row r="12">
      <c r="A12" s="541"/>
      <c r="B12" s="485"/>
      <c r="C12" s="485"/>
      <c r="D12" s="488">
        <v>9.0</v>
      </c>
      <c r="E12" s="485"/>
      <c r="F12" s="477" t="b">
        <v>0</v>
      </c>
      <c r="G12" s="466"/>
      <c r="H12" s="493">
        <v>15.0</v>
      </c>
      <c r="I12" s="1118"/>
      <c r="J12" s="496">
        <v>9.0</v>
      </c>
      <c r="K12" s="1119" t="s">
        <v>1880</v>
      </c>
      <c r="L12" s="496" t="s">
        <v>771</v>
      </c>
      <c r="M12" s="477" t="b">
        <v>0</v>
      </c>
      <c r="N12" s="541"/>
      <c r="O12" s="491"/>
      <c r="P12" s="491"/>
      <c r="Q12" s="491"/>
      <c r="R12" s="491"/>
    </row>
    <row r="13">
      <c r="A13" s="541"/>
      <c r="B13" s="485"/>
      <c r="C13" s="485"/>
      <c r="D13" s="488">
        <v>10.0</v>
      </c>
      <c r="E13" s="485"/>
      <c r="F13" s="477" t="b">
        <v>0</v>
      </c>
      <c r="G13" s="466"/>
      <c r="H13" s="493">
        <v>1.0</v>
      </c>
      <c r="I13" s="1118"/>
      <c r="J13" s="496">
        <v>10.0</v>
      </c>
      <c r="K13" s="1119" t="s">
        <v>1881</v>
      </c>
      <c r="L13" s="496" t="s">
        <v>414</v>
      </c>
      <c r="M13" s="477" t="b">
        <v>0</v>
      </c>
      <c r="N13" s="541"/>
      <c r="O13" s="491"/>
      <c r="P13" s="491"/>
      <c r="Q13" s="491"/>
      <c r="R13" s="491"/>
    </row>
    <row r="14">
      <c r="A14" s="541"/>
      <c r="B14" s="485"/>
      <c r="C14" s="485"/>
      <c r="D14" s="488">
        <v>11.0</v>
      </c>
      <c r="E14" s="485"/>
      <c r="F14" s="477" t="b">
        <v>0</v>
      </c>
      <c r="G14" s="466"/>
      <c r="H14" s="493">
        <v>1.0</v>
      </c>
      <c r="I14" s="1118"/>
      <c r="J14" s="496">
        <v>11.0</v>
      </c>
      <c r="K14" s="1119" t="s">
        <v>1882</v>
      </c>
      <c r="L14" s="496" t="s">
        <v>414</v>
      </c>
      <c r="M14" s="477" t="b">
        <v>0</v>
      </c>
      <c r="N14" s="485"/>
      <c r="O14" s="466"/>
      <c r="P14" s="466"/>
      <c r="Q14" s="467" t="s">
        <v>774</v>
      </c>
      <c r="R14" s="69"/>
    </row>
    <row r="15">
      <c r="A15" s="1115"/>
      <c r="B15" s="1120" t="s">
        <v>1883</v>
      </c>
      <c r="C15" s="498"/>
      <c r="D15" s="499">
        <v>12.0</v>
      </c>
      <c r="E15" s="1120" t="s">
        <v>1884</v>
      </c>
      <c r="F15" s="477" t="b">
        <v>0</v>
      </c>
      <c r="G15" s="466"/>
      <c r="H15" s="485"/>
      <c r="I15" s="487"/>
      <c r="J15" s="484">
        <v>12.0</v>
      </c>
      <c r="K15" s="485"/>
      <c r="L15" s="485"/>
      <c r="M15" s="477" t="b">
        <v>0</v>
      </c>
      <c r="N15" s="485"/>
      <c r="O15" s="466"/>
      <c r="P15" s="466"/>
      <c r="Q15" s="483"/>
      <c r="R15" s="484" t="s">
        <v>777</v>
      </c>
    </row>
    <row r="16">
      <c r="A16" s="1115"/>
      <c r="B16" s="1121" t="s">
        <v>1885</v>
      </c>
      <c r="C16" s="501"/>
      <c r="D16" s="502">
        <v>13.0</v>
      </c>
      <c r="E16" s="1121" t="s">
        <v>1886</v>
      </c>
      <c r="F16" s="477" t="b">
        <v>0</v>
      </c>
      <c r="G16" s="466"/>
      <c r="H16" s="484"/>
      <c r="I16" s="509"/>
      <c r="J16" s="484">
        <v>13.0</v>
      </c>
      <c r="K16" s="484"/>
      <c r="L16" s="484"/>
      <c r="M16" s="477" t="b">
        <v>0</v>
      </c>
      <c r="N16" s="541"/>
      <c r="O16" s="466"/>
      <c r="P16" s="466"/>
      <c r="Q16" s="503"/>
      <c r="R16" s="484" t="s">
        <v>780</v>
      </c>
    </row>
    <row r="17">
      <c r="A17" s="1115"/>
      <c r="B17" s="1120" t="s">
        <v>1887</v>
      </c>
      <c r="C17" s="505"/>
      <c r="D17" s="506">
        <v>14.0</v>
      </c>
      <c r="E17" s="1122" t="s">
        <v>1888</v>
      </c>
      <c r="F17" s="477" t="b">
        <v>0</v>
      </c>
      <c r="G17" s="466"/>
      <c r="H17" s="485"/>
      <c r="I17" s="487"/>
      <c r="J17" s="484">
        <v>14.0</v>
      </c>
      <c r="K17" s="485"/>
      <c r="L17" s="485"/>
      <c r="M17" s="477" t="b">
        <v>0</v>
      </c>
      <c r="N17" s="541"/>
      <c r="O17" s="466"/>
      <c r="P17" s="466"/>
      <c r="Q17" s="507"/>
      <c r="R17" s="484" t="s">
        <v>783</v>
      </c>
    </row>
    <row r="18">
      <c r="A18" s="1115"/>
      <c r="B18" s="1121" t="s">
        <v>1889</v>
      </c>
      <c r="C18" s="501"/>
      <c r="D18" s="502">
        <v>15.0</v>
      </c>
      <c r="E18" s="1121" t="s">
        <v>1890</v>
      </c>
      <c r="F18" s="477" t="b">
        <v>0</v>
      </c>
      <c r="G18" s="466"/>
      <c r="H18" s="490"/>
      <c r="I18" s="1117"/>
      <c r="J18" s="489">
        <v>15.0</v>
      </c>
      <c r="K18" s="1106"/>
      <c r="L18" s="490"/>
      <c r="M18" s="477" t="b">
        <v>0</v>
      </c>
      <c r="N18" s="541"/>
      <c r="O18" s="466"/>
      <c r="P18" s="466"/>
      <c r="Q18" s="508"/>
      <c r="R18" s="484" t="s">
        <v>786</v>
      </c>
    </row>
    <row r="19">
      <c r="A19" s="1123"/>
      <c r="B19" s="484"/>
      <c r="C19" s="484"/>
      <c r="D19" s="488">
        <v>16.0</v>
      </c>
      <c r="E19" s="484"/>
      <c r="F19" s="477" t="b">
        <v>0</v>
      </c>
      <c r="G19" s="466"/>
      <c r="H19" s="485"/>
      <c r="I19" s="487"/>
      <c r="J19" s="488">
        <v>16.0</v>
      </c>
      <c r="K19" s="485"/>
      <c r="L19" s="485"/>
      <c r="M19" s="477" t="b">
        <v>0</v>
      </c>
      <c r="N19" s="541"/>
      <c r="O19" s="466"/>
      <c r="P19" s="529"/>
      <c r="Q19" s="510"/>
      <c r="R19" s="511" t="s">
        <v>787</v>
      </c>
    </row>
    <row r="20">
      <c r="A20" s="541"/>
      <c r="B20" s="485"/>
      <c r="C20" s="485"/>
      <c r="D20" s="488">
        <v>17.0</v>
      </c>
      <c r="E20" s="485"/>
      <c r="F20" s="477" t="b">
        <v>0</v>
      </c>
      <c r="G20" s="466"/>
      <c r="H20" s="518">
        <v>1.0</v>
      </c>
      <c r="I20" s="1124"/>
      <c r="J20" s="512">
        <v>17.0</v>
      </c>
      <c r="K20" s="513" t="s">
        <v>1891</v>
      </c>
      <c r="L20" s="518" t="s">
        <v>414</v>
      </c>
      <c r="M20" s="477" t="b">
        <v>0</v>
      </c>
      <c r="N20" s="541"/>
      <c r="O20" s="466"/>
      <c r="P20" s="466"/>
      <c r="Q20" s="514"/>
      <c r="R20" s="484" t="s">
        <v>789</v>
      </c>
    </row>
    <row r="21">
      <c r="A21" s="541"/>
      <c r="B21" s="485"/>
      <c r="C21" s="485"/>
      <c r="D21" s="488">
        <v>18.0</v>
      </c>
      <c r="E21" s="485"/>
      <c r="F21" s="477" t="b">
        <v>0</v>
      </c>
      <c r="G21" s="466"/>
      <c r="H21" s="1107">
        <v>1.0</v>
      </c>
      <c r="I21" s="1125"/>
      <c r="J21" s="515">
        <v>18.0</v>
      </c>
      <c r="K21" s="516" t="s">
        <v>1892</v>
      </c>
      <c r="L21" s="1107" t="s">
        <v>414</v>
      </c>
      <c r="M21" s="477" t="b">
        <v>0</v>
      </c>
      <c r="N21" s="485"/>
      <c r="O21" s="491"/>
      <c r="P21" s="491"/>
      <c r="Q21" s="517"/>
      <c r="R21" s="484" t="s">
        <v>791</v>
      </c>
    </row>
    <row r="22">
      <c r="A22" s="541"/>
      <c r="B22" s="485"/>
      <c r="C22" s="485"/>
      <c r="D22" s="488">
        <v>19.0</v>
      </c>
      <c r="E22" s="485"/>
      <c r="F22" s="477" t="b">
        <v>0</v>
      </c>
      <c r="G22" s="466"/>
      <c r="H22" s="518" t="s">
        <v>792</v>
      </c>
      <c r="I22" s="1124"/>
      <c r="J22" s="512">
        <v>19.0</v>
      </c>
      <c r="K22" s="513" t="s">
        <v>1891</v>
      </c>
      <c r="L22" s="518" t="s">
        <v>794</v>
      </c>
      <c r="M22" s="477" t="b">
        <v>0</v>
      </c>
      <c r="N22" s="519" t="b">
        <v>0</v>
      </c>
      <c r="O22" s="491"/>
      <c r="P22" s="491"/>
      <c r="Q22" s="491"/>
      <c r="R22" s="491"/>
    </row>
    <row r="23">
      <c r="A23" s="541"/>
      <c r="B23" s="485"/>
      <c r="C23" s="485"/>
      <c r="D23" s="488">
        <v>20.0</v>
      </c>
      <c r="E23" s="485"/>
      <c r="F23" s="477" t="b">
        <v>0</v>
      </c>
      <c r="G23" s="491"/>
      <c r="H23" s="518" t="s">
        <v>796</v>
      </c>
      <c r="I23" s="1124"/>
      <c r="J23" s="512">
        <v>20.0</v>
      </c>
      <c r="K23" s="513" t="s">
        <v>1891</v>
      </c>
      <c r="L23" s="518" t="s">
        <v>798</v>
      </c>
      <c r="M23" s="477" t="b">
        <v>0</v>
      </c>
      <c r="N23" s="519" t="b">
        <v>0</v>
      </c>
      <c r="O23" s="491"/>
      <c r="P23" s="491"/>
      <c r="Q23" s="491"/>
      <c r="R23" s="491"/>
    </row>
  </sheetData>
  <mergeCells count="2">
    <mergeCell ref="O2:R2"/>
    <mergeCell ref="Q14:R14"/>
  </mergeCells>
  <conditionalFormatting sqref="N22:N23">
    <cfRule type="cellIs" dxfId="5" priority="1" operator="equal">
      <formula>"TRUE"</formula>
    </cfRule>
  </conditionalFormatting>
  <conditionalFormatting sqref="F4:F23 M4:M23">
    <cfRule type="cellIs" dxfId="5" priority="2" operator="equal">
      <formula>"True"</formula>
    </cfRule>
  </conditionalFormatting>
  <conditionalFormatting sqref="F4:F23 M4:M23">
    <cfRule type="cellIs" dxfId="9" priority="3" operator="equal">
      <formula>"False"</formula>
    </cfRule>
  </conditionalFormatting>
  <drawing r:id="rId1"/>
</worksheet>
</file>